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01 Students &amp; Admissions" sheetId="2" state="visible" r:id="rId2"/>
    <sheet xmlns:r="http://schemas.openxmlformats.org/officeDocument/2006/relationships" name="M02 Academic Management" sheetId="3" state="visible" r:id="rId3"/>
    <sheet xmlns:r="http://schemas.openxmlformats.org/officeDocument/2006/relationships" name="M03 Attendance" sheetId="4" state="visible" r:id="rId4"/>
    <sheet xmlns:r="http://schemas.openxmlformats.org/officeDocument/2006/relationships" name="M04 Results &amp; Reporting" sheetId="5" state="visible" r:id="rId5"/>
    <sheet xmlns:r="http://schemas.openxmlformats.org/officeDocument/2006/relationships" name="M05 Finance &amp; Fees (Ledger)" sheetId="6" state="visible" r:id="rId6"/>
    <sheet xmlns:r="http://schemas.openxmlformats.org/officeDocument/2006/relationships" name="M06 Payments" sheetId="7" state="visible" r:id="rId7"/>
    <sheet xmlns:r="http://schemas.openxmlformats.org/officeDocument/2006/relationships" name="M07 Staff &amp; HR + Payroll" sheetId="8" state="visible" r:id="rId8"/>
    <sheet xmlns:r="http://schemas.openxmlformats.org/officeDocument/2006/relationships" name="M08 Communications" sheetId="9" state="visible" r:id="rId9"/>
    <sheet xmlns:r="http://schemas.openxmlformats.org/officeDocument/2006/relationships" name="M09 Calendar &amp; Notice Board" sheetId="10" state="visible" r:id="rId10"/>
    <sheet xmlns:r="http://schemas.openxmlformats.org/officeDocument/2006/relationships" name="M10 House Points" sheetId="11" state="visible" r:id="rId11"/>
    <sheet xmlns:r="http://schemas.openxmlformats.org/officeDocument/2006/relationships" name="M11 Transport &amp; Pickup" sheetId="12" state="visible" r:id="rId12"/>
    <sheet xmlns:r="http://schemas.openxmlformats.org/officeDocument/2006/relationships" name="M12 Health &amp; Sickbay" sheetId="13" state="visible" r:id="rId13"/>
    <sheet xmlns:r="http://schemas.openxmlformats.org/officeDocument/2006/relationships" name="M13 Alumni" sheetId="14" state="visible" r:id="rId14"/>
    <sheet xmlns:r="http://schemas.openxmlformats.org/officeDocument/2006/relationships" name="M14 Assessments (CBT)" sheetId="15" state="visible" r:id="rId15"/>
    <sheet xmlns:r="http://schemas.openxmlformats.org/officeDocument/2006/relationships" name="M15 Multi-branch Groups" sheetId="16" state="visible" r:id="rId16"/>
    <sheet xmlns:r="http://schemas.openxmlformats.org/officeDocument/2006/relationships" name="M16 Feature Entitlements" sheetId="17" state="visible" r:id="rId17"/>
    <sheet xmlns:r="http://schemas.openxmlformats.org/officeDocument/2006/relationships" name="M17 Super Admin (COP)" sheetId="18" state="visible" r:id="rId18"/>
    <sheet xmlns:r="http://schemas.openxmlformats.org/officeDocument/2006/relationships" name="M18 Lending (On Hold)" sheetId="19" state="visible" r:id="rId19"/>
    <sheet xmlns:r="http://schemas.openxmlformats.org/officeDocument/2006/relationships" name="M19 Learning &amp; Content" sheetId="20" state="visible" r:id="rId20"/>
    <sheet xmlns:r="http://schemas.openxmlformats.org/officeDocument/2006/relationships" name="M20 Behaviour &amp; Discipline" sheetId="21" state="visible" r:id="rId21"/>
    <sheet xmlns:r="http://schemas.openxmlformats.org/officeDocument/2006/relationships" name="M21 Messaging" sheetId="22" state="visible" r:id="rId22"/>
    <sheet xmlns:r="http://schemas.openxmlformats.org/officeDocument/2006/relationships" name="M22 Front Desk" sheetId="23" state="visible" r:id="rId23"/>
    <sheet xmlns:r="http://schemas.openxmlformats.org/officeDocument/2006/relationships" name="M23 Operations Hub" sheetId="24" state="visible" r:id="rId24"/>
    <sheet xmlns:r="http://schemas.openxmlformats.org/officeDocument/2006/relationships" name="M24 School Store" sheetId="25" state="visible" r:id="rId25"/>
    <sheet xmlns:r="http://schemas.openxmlformats.org/officeDocument/2006/relationships" name="M25 Settings &amp; Branding" sheetId="26" state="visible" r:id="rId26"/>
    <sheet xmlns:r="http://schemas.openxmlformats.org/officeDocument/2006/relationships" name="M26 Reports &amp; Analytics" sheetId="27" state="visible" r:id="rId27"/>
    <sheet xmlns:r="http://schemas.openxmlformats.org/officeDocument/2006/relationships" name="M27 Audit Log" sheetId="28" state="visible" r:id="rId28"/>
    <sheet xmlns:r="http://schemas.openxmlformats.org/officeDocument/2006/relationships" name="M28 Notifications" sheetId="29" state="visible" r:id="rId29"/>
    <sheet xmlns:r="http://schemas.openxmlformats.org/officeDocument/2006/relationships" name="M29 Help &amp; Support" sheetId="30" state="visible" r:id="rId30"/>
    <sheet xmlns:r="http://schemas.openxmlformats.org/officeDocument/2006/relationships" name="M30 Subscription &amp; Billing" sheetId="31" state="visible" r:id="rId31"/>
    <sheet xmlns:r="http://schemas.openxmlformats.org/officeDocument/2006/relationships" name="M31 AI Assistant &amp; Insights" sheetId="32" state="visible" r:id="rId32"/>
    <sheet xmlns:r="http://schemas.openxmlformats.org/officeDocument/2006/relationships" name="M32 Public Site &amp; Acquisition" sheetId="33" state="visible" r:id="rId33"/>
    <sheet xmlns:r="http://schemas.openxmlformats.org/officeDocument/2006/relationships" name="M33 Role Dashboards" sheetId="34" state="visible" r:id="rId34"/>
    <sheet xmlns:r="http://schemas.openxmlformats.org/officeDocument/2006/relationships" name="M34 COP Platform Settings" sheetId="35" state="visible" r:id="rId35"/>
    <sheet xmlns:r="http://schemas.openxmlformats.org/officeDocument/2006/relationships" name="X1 Auth &amp; Tenancy" sheetId="36" state="visible" r:id="rId36"/>
    <sheet xmlns:r="http://schemas.openxmlformats.org/officeDocument/2006/relationships" name="X2 Offline &amp; PWA" sheetId="37" state="visible" r:id="rId37"/>
    <sheet xmlns:r="http://schemas.openxmlformats.org/officeDocument/2006/relationships" name="X3 Usability &amp; Accessibility" sheetId="38" state="visible" r:id="rId38"/>
    <sheet xmlns:r="http://schemas.openxmlformats.org/officeDocument/2006/relationships" name="Test Cases (Detailed)" sheetId="39" state="visible" r:id="rId39"/>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1"/>
    </font>
    <font>
      <name val="Calibri"/>
      <sz val="10"/>
    </font>
    <font>
      <name val="Calibri"/>
      <b val="1"/>
      <sz val="10"/>
    </font>
    <font>
      <name val="Calibri"/>
      <b val="1"/>
      <color rgb="00FFFFFF"/>
      <sz val="12"/>
    </font>
    <font>
      <name val="Calibri"/>
      <b val="1"/>
      <color rgb="00FFFFFF"/>
      <sz val="14"/>
    </font>
    <font>
      <name val="Calibri"/>
      <b val="1"/>
      <color rgb="00FFFFFF"/>
      <sz val="10"/>
    </font>
    <font>
      <name val="Calibri"/>
      <b val="1"/>
      <sz val="11"/>
    </font>
    <font>
      <name val="Calibri"/>
      <b val="1"/>
      <color rgb="001B7F3B"/>
      <sz val="10"/>
    </font>
    <font>
      <name val="Calibri"/>
      <b val="1"/>
      <color rgb="009C0006"/>
      <sz val="10"/>
    </font>
  </fonts>
  <fills count="9">
    <fill>
      <patternFill/>
    </fill>
    <fill>
      <patternFill patternType="gray125"/>
    </fill>
    <fill>
      <patternFill patternType="solid">
        <fgColor rgb="001F5FAD"/>
      </patternFill>
    </fill>
    <fill>
      <patternFill patternType="solid">
        <fgColor rgb="002E75B6"/>
      </patternFill>
    </fill>
    <fill>
      <patternFill patternType="solid">
        <fgColor rgb="00FFF2CC"/>
      </patternFill>
    </fill>
    <fill>
      <patternFill patternType="solid">
        <fgColor rgb="00C6EFCE"/>
      </patternFill>
    </fill>
    <fill>
      <patternFill patternType="solid">
        <fgColor rgb="00FFC7CE"/>
      </patternFill>
    </fill>
    <fill>
      <patternFill patternType="solid">
        <fgColor rgb="003B3B3B"/>
      </patternFill>
    </fill>
    <fill>
      <patternFill patternType="solid">
        <fgColor rgb="00E7E9EC"/>
      </patternFill>
    </fill>
  </fills>
  <borders count="2">
    <border>
      <left/>
      <right/>
      <top/>
      <bottom/>
      <diagonal/>
    </border>
    <border>
      <left style="thin">
        <color rgb="00B7C2CC"/>
      </left>
      <right style="thin">
        <color rgb="00B7C2CC"/>
      </right>
      <top style="thin">
        <color rgb="00B7C2CC"/>
      </top>
      <bottom style="thin">
        <color rgb="00B7C2CC"/>
      </bottom>
    </border>
  </borders>
  <cellStyleXfs count="1">
    <xf numFmtId="0" fontId="0" fillId="0" borderId="0"/>
  </cellStyleXfs>
  <cellXfs count="23">
    <xf numFmtId="0" fontId="0" fillId="0" borderId="0" pivotButton="0" quotePrefix="0" xfId="0"/>
    <xf numFmtId="0" fontId="5"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2" fillId="0" borderId="1" pivotButton="0" quotePrefix="0" xfId="0"/>
    <xf numFmtId="0"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6" fillId="2" borderId="1" pivotButton="0" quotePrefix="0" xfId="0"/>
    <xf numFmtId="0" fontId="6" fillId="2" borderId="1" applyAlignment="1" pivotButton="0" quotePrefix="0" xfId="0">
      <alignment horizontal="center" vertical="center" wrapText="1"/>
    </xf>
    <xf numFmtId="9" fontId="6" fillId="2" borderId="1" applyAlignment="1" pivotButton="0" quotePrefix="0" xfId="0">
      <alignment horizontal="center" vertical="center" wrapText="1"/>
    </xf>
    <xf numFmtId="0" fontId="7" fillId="0" borderId="0" pivotButton="0" quotePrefix="0" xfId="0"/>
    <xf numFmtId="0" fontId="3" fillId="0" borderId="1" applyAlignment="1" pivotButton="0" quotePrefix="0" xfId="0">
      <alignment horizontal="center" vertical="center" wrapText="1"/>
    </xf>
    <xf numFmtId="0" fontId="2" fillId="0" borderId="0" applyAlignment="1" pivotButton="0" quotePrefix="0" xfId="0">
      <alignment vertical="center"/>
    </xf>
    <xf numFmtId="0" fontId="8" fillId="5" borderId="1" applyAlignment="1" pivotButton="0" quotePrefix="0" xfId="0">
      <alignment horizontal="center" vertical="center" wrapText="1"/>
    </xf>
    <xf numFmtId="0" fontId="9"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0" borderId="0" pivotButton="0" quotePrefix="0" xfId="0"/>
    <xf numFmtId="0" fontId="2" fillId="0" borderId="0" pivotButton="0" quotePrefix="0" xfId="0"/>
    <xf numFmtId="0" fontId="4" fillId="3" borderId="0" applyAlignment="1" pivotButton="0" quotePrefix="0" xfId="0">
      <alignment horizontal="center" vertical="center" wrapText="1"/>
    </xf>
    <xf numFmtId="0" fontId="0" fillId="0"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3" fillId="4" borderId="0" applyAlignment="1" pivotButton="0" quotePrefix="0" xfId="0">
      <alignment horizontal="center" vertical="center" wrapText="1"/>
    </xf>
  </cellXfs>
  <cellStyles count="1">
    <cellStyle name="Normal" xfId="0" builtinId="0" hidden="0"/>
  </cellStyles>
  <dxfs count="4">
    <dxf>
      <font>
        <name val="Calibri"/>
        <b val="1"/>
        <color rgb="001B7F3B"/>
        <sz val="10"/>
      </font>
      <fill>
        <patternFill patternType="solid">
          <fgColor rgb="00C6EFCE"/>
        </patternFill>
      </fill>
    </dxf>
    <dxf>
      <font>
        <name val="Calibri"/>
        <b val="1"/>
        <color rgb="009C0006"/>
        <sz val="10"/>
      </font>
      <fill>
        <patternFill patternType="solid">
          <fgColor rgb="00FFC7CE"/>
        </patternFill>
      </fill>
    </dxf>
    <dxf>
      <font>
        <name val="Calibri"/>
        <b val="1"/>
        <color rgb="00FFFFFF"/>
        <sz val="10"/>
      </font>
      <fill>
        <patternFill patternType="solid">
          <fgColor rgb="003B3B3B"/>
        </patternFill>
      </fill>
    </dxf>
    <dxf>
      <fill>
        <patternFill patternType="solid">
          <fgColor rgb="00E7E9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styles" Target="styles.xml" Id="rId40"/><Relationship Type="http://schemas.openxmlformats.org/officeDocument/2006/relationships/theme" Target="theme/theme1.xml" Id="rId4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
  <sheetViews>
    <sheetView showGridLines="0" workbookViewId="0">
      <pane ySplit="3" topLeftCell="A4" activePane="bottomLeft" state="frozen"/>
      <selection pane="bottomLeft" activeCell="A1" sqref="A1"/>
    </sheetView>
  </sheetViews>
  <sheetFormatPr baseColWidth="8" defaultRowHeight="15"/>
  <cols>
    <col width="32" customWidth="1" min="1" max="1"/>
    <col width="11" customWidth="1" min="2" max="2"/>
    <col width="11" customWidth="1" min="3" max="3"/>
    <col width="11" customWidth="1" min="4" max="4"/>
    <col width="11" customWidth="1" min="5" max="5"/>
    <col width="15" customWidth="1" min="6" max="6"/>
    <col width="13" customWidth="1" min="7" max="7"/>
  </cols>
  <sheetData>
    <row r="1" ht="30" customHeight="1">
      <c r="A1" s="1" t="inlineStr">
        <is>
          <t>CASPAA — School Operating System · Test Execution Summary</t>
        </is>
      </c>
    </row>
    <row r="3" ht="26" customHeight="1">
      <c r="A3" s="2" t="inlineStr">
        <is>
          <t>Test Area</t>
        </is>
      </c>
      <c r="B3" s="2" t="inlineStr">
        <is>
          <t>Total</t>
        </is>
      </c>
      <c r="C3" s="2" t="inlineStr">
        <is>
          <t>Passed</t>
        </is>
      </c>
      <c r="D3" s="2" t="inlineStr">
        <is>
          <t>Failed</t>
        </is>
      </c>
      <c r="E3" s="2" t="inlineStr">
        <is>
          <t>Blocker</t>
        </is>
      </c>
      <c r="F3" s="2" t="inlineStr">
        <is>
          <t>Not-Executed</t>
        </is>
      </c>
      <c r="G3" s="2" t="inlineStr">
        <is>
          <t>% Executed</t>
        </is>
      </c>
    </row>
    <row r="4">
      <c r="A4" s="3" t="inlineStr">
        <is>
          <t>M01 Students &amp; Admissions</t>
        </is>
      </c>
      <c r="B4" s="4">
        <f>'M01 Students &amp; Admissions'!F3</f>
        <v/>
      </c>
      <c r="C4" s="4">
        <f>'M01 Students &amp; Admissions'!G3</f>
        <v/>
      </c>
      <c r="D4" s="4">
        <f>'M01 Students &amp; Admissions'!H3</f>
        <v/>
      </c>
      <c r="E4" s="4">
        <f>'M01 Students &amp; Admissions'!I3</f>
        <v/>
      </c>
      <c r="F4" s="4">
        <f>'M01 Students &amp; Admissions'!J3</f>
        <v/>
      </c>
      <c r="G4" s="5">
        <f>IF(B4=0,0,(B4-F4)/B4)</f>
        <v/>
      </c>
    </row>
    <row r="5">
      <c r="A5" s="3" t="inlineStr">
        <is>
          <t>M02 Academic Management</t>
        </is>
      </c>
      <c r="B5" s="4">
        <f>'M02 Academic Management'!F3</f>
        <v/>
      </c>
      <c r="C5" s="4">
        <f>'M02 Academic Management'!G3</f>
        <v/>
      </c>
      <c r="D5" s="4">
        <f>'M02 Academic Management'!H3</f>
        <v/>
      </c>
      <c r="E5" s="4">
        <f>'M02 Academic Management'!I3</f>
        <v/>
      </c>
      <c r="F5" s="4">
        <f>'M02 Academic Management'!J3</f>
        <v/>
      </c>
      <c r="G5" s="5">
        <f>IF(B5=0,0,(B5-F5)/B5)</f>
        <v/>
      </c>
    </row>
    <row r="6">
      <c r="A6" s="3" t="inlineStr">
        <is>
          <t>M03 Attendance</t>
        </is>
      </c>
      <c r="B6" s="4">
        <f>'M03 Attendance'!F3</f>
        <v/>
      </c>
      <c r="C6" s="4">
        <f>'M03 Attendance'!G3</f>
        <v/>
      </c>
      <c r="D6" s="4">
        <f>'M03 Attendance'!H3</f>
        <v/>
      </c>
      <c r="E6" s="4">
        <f>'M03 Attendance'!I3</f>
        <v/>
      </c>
      <c r="F6" s="4">
        <f>'M03 Attendance'!J3</f>
        <v/>
      </c>
      <c r="G6" s="5">
        <f>IF(B6=0,0,(B6-F6)/B6)</f>
        <v/>
      </c>
    </row>
    <row r="7">
      <c r="A7" s="3" t="inlineStr">
        <is>
          <t>M04 Results &amp; Reporting</t>
        </is>
      </c>
      <c r="B7" s="4">
        <f>'M04 Results &amp; Reporting'!F3</f>
        <v/>
      </c>
      <c r="C7" s="4">
        <f>'M04 Results &amp; Reporting'!G3</f>
        <v/>
      </c>
      <c r="D7" s="4">
        <f>'M04 Results &amp; Reporting'!H3</f>
        <v/>
      </c>
      <c r="E7" s="4">
        <f>'M04 Results &amp; Reporting'!I3</f>
        <v/>
      </c>
      <c r="F7" s="4">
        <f>'M04 Results &amp; Reporting'!J3</f>
        <v/>
      </c>
      <c r="G7" s="5">
        <f>IF(B7=0,0,(B7-F7)/B7)</f>
        <v/>
      </c>
    </row>
    <row r="8">
      <c r="A8" s="3" t="inlineStr">
        <is>
          <t>M05 Finance &amp; Fees (Ledger)</t>
        </is>
      </c>
      <c r="B8" s="4">
        <f>'M05 Finance &amp; Fees (Ledger)'!F3</f>
        <v/>
      </c>
      <c r="C8" s="4">
        <f>'M05 Finance &amp; Fees (Ledger)'!G3</f>
        <v/>
      </c>
      <c r="D8" s="4">
        <f>'M05 Finance &amp; Fees (Ledger)'!H3</f>
        <v/>
      </c>
      <c r="E8" s="4">
        <f>'M05 Finance &amp; Fees (Ledger)'!I3</f>
        <v/>
      </c>
      <c r="F8" s="4">
        <f>'M05 Finance &amp; Fees (Ledger)'!J3</f>
        <v/>
      </c>
      <c r="G8" s="5">
        <f>IF(B8=0,0,(B8-F8)/B8)</f>
        <v/>
      </c>
    </row>
    <row r="9">
      <c r="A9" s="3" t="inlineStr">
        <is>
          <t>M06 Payments</t>
        </is>
      </c>
      <c r="B9" s="4">
        <f>'M06 Payments'!F3</f>
        <v/>
      </c>
      <c r="C9" s="4">
        <f>'M06 Payments'!G3</f>
        <v/>
      </c>
      <c r="D9" s="4">
        <f>'M06 Payments'!H3</f>
        <v/>
      </c>
      <c r="E9" s="4">
        <f>'M06 Payments'!I3</f>
        <v/>
      </c>
      <c r="F9" s="4">
        <f>'M06 Payments'!J3</f>
        <v/>
      </c>
      <c r="G9" s="5">
        <f>IF(B9=0,0,(B9-F9)/B9)</f>
        <v/>
      </c>
    </row>
    <row r="10">
      <c r="A10" s="3" t="inlineStr">
        <is>
          <t>M07 Staff &amp; HR + Payroll</t>
        </is>
      </c>
      <c r="B10" s="4">
        <f>'M07 Staff &amp; HR + Payroll'!F3</f>
        <v/>
      </c>
      <c r="C10" s="4">
        <f>'M07 Staff &amp; HR + Payroll'!G3</f>
        <v/>
      </c>
      <c r="D10" s="4">
        <f>'M07 Staff &amp; HR + Payroll'!H3</f>
        <v/>
      </c>
      <c r="E10" s="4">
        <f>'M07 Staff &amp; HR + Payroll'!I3</f>
        <v/>
      </c>
      <c r="F10" s="4">
        <f>'M07 Staff &amp; HR + Payroll'!J3</f>
        <v/>
      </c>
      <c r="G10" s="5">
        <f>IF(B10=0,0,(B10-F10)/B10)</f>
        <v/>
      </c>
    </row>
    <row r="11">
      <c r="A11" s="3" t="inlineStr">
        <is>
          <t>M08 Communications</t>
        </is>
      </c>
      <c r="B11" s="4">
        <f>'M08 Communications'!F3</f>
        <v/>
      </c>
      <c r="C11" s="4">
        <f>'M08 Communications'!G3</f>
        <v/>
      </c>
      <c r="D11" s="4">
        <f>'M08 Communications'!H3</f>
        <v/>
      </c>
      <c r="E11" s="4">
        <f>'M08 Communications'!I3</f>
        <v/>
      </c>
      <c r="F11" s="4">
        <f>'M08 Communications'!J3</f>
        <v/>
      </c>
      <c r="G11" s="5">
        <f>IF(B11=0,0,(B11-F11)/B11)</f>
        <v/>
      </c>
    </row>
    <row r="12">
      <c r="A12" s="3" t="inlineStr">
        <is>
          <t>M09 Calendar &amp; Notice Board</t>
        </is>
      </c>
      <c r="B12" s="4">
        <f>'M09 Calendar &amp; Notice Board'!F3</f>
        <v/>
      </c>
      <c r="C12" s="4">
        <f>'M09 Calendar &amp; Notice Board'!G3</f>
        <v/>
      </c>
      <c r="D12" s="4">
        <f>'M09 Calendar &amp; Notice Board'!H3</f>
        <v/>
      </c>
      <c r="E12" s="4">
        <f>'M09 Calendar &amp; Notice Board'!I3</f>
        <v/>
      </c>
      <c r="F12" s="4">
        <f>'M09 Calendar &amp; Notice Board'!J3</f>
        <v/>
      </c>
      <c r="G12" s="5">
        <f>IF(B12=0,0,(B12-F12)/B12)</f>
        <v/>
      </c>
    </row>
    <row r="13">
      <c r="A13" s="3" t="inlineStr">
        <is>
          <t>M10 House Points</t>
        </is>
      </c>
      <c r="B13" s="4">
        <f>'M10 House Points'!F3</f>
        <v/>
      </c>
      <c r="C13" s="4">
        <f>'M10 House Points'!G3</f>
        <v/>
      </c>
      <c r="D13" s="4">
        <f>'M10 House Points'!H3</f>
        <v/>
      </c>
      <c r="E13" s="4">
        <f>'M10 House Points'!I3</f>
        <v/>
      </c>
      <c r="F13" s="4">
        <f>'M10 House Points'!J3</f>
        <v/>
      </c>
      <c r="G13" s="5">
        <f>IF(B13=0,0,(B13-F13)/B13)</f>
        <v/>
      </c>
    </row>
    <row r="14">
      <c r="A14" s="3" t="inlineStr">
        <is>
          <t>M11 Transport &amp; Pickup</t>
        </is>
      </c>
      <c r="B14" s="4">
        <f>'M11 Transport &amp; Pickup'!F3</f>
        <v/>
      </c>
      <c r="C14" s="4">
        <f>'M11 Transport &amp; Pickup'!G3</f>
        <v/>
      </c>
      <c r="D14" s="4">
        <f>'M11 Transport &amp; Pickup'!H3</f>
        <v/>
      </c>
      <c r="E14" s="4">
        <f>'M11 Transport &amp; Pickup'!I3</f>
        <v/>
      </c>
      <c r="F14" s="4">
        <f>'M11 Transport &amp; Pickup'!J3</f>
        <v/>
      </c>
      <c r="G14" s="5">
        <f>IF(B14=0,0,(B14-F14)/B14)</f>
        <v/>
      </c>
    </row>
    <row r="15">
      <c r="A15" s="3" t="inlineStr">
        <is>
          <t>M12 Health &amp; Sickbay</t>
        </is>
      </c>
      <c r="B15" s="4">
        <f>'M12 Health &amp; Sickbay'!F3</f>
        <v/>
      </c>
      <c r="C15" s="4">
        <f>'M12 Health &amp; Sickbay'!G3</f>
        <v/>
      </c>
      <c r="D15" s="4">
        <f>'M12 Health &amp; Sickbay'!H3</f>
        <v/>
      </c>
      <c r="E15" s="4">
        <f>'M12 Health &amp; Sickbay'!I3</f>
        <v/>
      </c>
      <c r="F15" s="4">
        <f>'M12 Health &amp; Sickbay'!J3</f>
        <v/>
      </c>
      <c r="G15" s="5">
        <f>IF(B15=0,0,(B15-F15)/B15)</f>
        <v/>
      </c>
    </row>
    <row r="16">
      <c r="A16" s="3" t="inlineStr">
        <is>
          <t>M13 Alumni</t>
        </is>
      </c>
      <c r="B16" s="4">
        <f>'M13 Alumni'!F3</f>
        <v/>
      </c>
      <c r="C16" s="4">
        <f>'M13 Alumni'!G3</f>
        <v/>
      </c>
      <c r="D16" s="4">
        <f>'M13 Alumni'!H3</f>
        <v/>
      </c>
      <c r="E16" s="4">
        <f>'M13 Alumni'!I3</f>
        <v/>
      </c>
      <c r="F16" s="4">
        <f>'M13 Alumni'!J3</f>
        <v/>
      </c>
      <c r="G16" s="5">
        <f>IF(B16=0,0,(B16-F16)/B16)</f>
        <v/>
      </c>
    </row>
    <row r="17">
      <c r="A17" s="3" t="inlineStr">
        <is>
          <t>M14 Assessments (CBT)</t>
        </is>
      </c>
      <c r="B17" s="4">
        <f>'M14 Assessments (CBT)'!F3</f>
        <v/>
      </c>
      <c r="C17" s="4">
        <f>'M14 Assessments (CBT)'!G3</f>
        <v/>
      </c>
      <c r="D17" s="4">
        <f>'M14 Assessments (CBT)'!H3</f>
        <v/>
      </c>
      <c r="E17" s="4">
        <f>'M14 Assessments (CBT)'!I3</f>
        <v/>
      </c>
      <c r="F17" s="4">
        <f>'M14 Assessments (CBT)'!J3</f>
        <v/>
      </c>
      <c r="G17" s="5">
        <f>IF(B17=0,0,(B17-F17)/B17)</f>
        <v/>
      </c>
    </row>
    <row r="18">
      <c r="A18" s="3" t="inlineStr">
        <is>
          <t>M15 Multi-branch Groups</t>
        </is>
      </c>
      <c r="B18" s="4">
        <f>'M15 Multi-branch Groups'!F3</f>
        <v/>
      </c>
      <c r="C18" s="4">
        <f>'M15 Multi-branch Groups'!G3</f>
        <v/>
      </c>
      <c r="D18" s="4">
        <f>'M15 Multi-branch Groups'!H3</f>
        <v/>
      </c>
      <c r="E18" s="4">
        <f>'M15 Multi-branch Groups'!I3</f>
        <v/>
      </c>
      <c r="F18" s="4">
        <f>'M15 Multi-branch Groups'!J3</f>
        <v/>
      </c>
      <c r="G18" s="5">
        <f>IF(B18=0,0,(B18-F18)/B18)</f>
        <v/>
      </c>
    </row>
    <row r="19">
      <c r="A19" s="3" t="inlineStr">
        <is>
          <t>M16 Feature Entitlements</t>
        </is>
      </c>
      <c r="B19" s="4">
        <f>'M16 Feature Entitlements'!F3</f>
        <v/>
      </c>
      <c r="C19" s="4">
        <f>'M16 Feature Entitlements'!G3</f>
        <v/>
      </c>
      <c r="D19" s="4">
        <f>'M16 Feature Entitlements'!H3</f>
        <v/>
      </c>
      <c r="E19" s="4">
        <f>'M16 Feature Entitlements'!I3</f>
        <v/>
      </c>
      <c r="F19" s="4">
        <f>'M16 Feature Entitlements'!J3</f>
        <v/>
      </c>
      <c r="G19" s="5">
        <f>IF(B19=0,0,(B19-F19)/B19)</f>
        <v/>
      </c>
    </row>
    <row r="20">
      <c r="A20" s="3" t="inlineStr">
        <is>
          <t>M17 Super Admin (COP)</t>
        </is>
      </c>
      <c r="B20" s="4">
        <f>'M17 Super Admin (COP)'!F3</f>
        <v/>
      </c>
      <c r="C20" s="4">
        <f>'M17 Super Admin (COP)'!G3</f>
        <v/>
      </c>
      <c r="D20" s="4">
        <f>'M17 Super Admin (COP)'!H3</f>
        <v/>
      </c>
      <c r="E20" s="4">
        <f>'M17 Super Admin (COP)'!I3</f>
        <v/>
      </c>
      <c r="F20" s="4">
        <f>'M17 Super Admin (COP)'!J3</f>
        <v/>
      </c>
      <c r="G20" s="5">
        <f>IF(B20=0,0,(B20-F20)/B20)</f>
        <v/>
      </c>
    </row>
    <row r="21">
      <c r="A21" s="3" t="inlineStr">
        <is>
          <t>M18 Lending (On Hold)</t>
        </is>
      </c>
      <c r="B21" s="4">
        <f>'M18 Lending (On Hold)'!F3</f>
        <v/>
      </c>
      <c r="C21" s="4">
        <f>'M18 Lending (On Hold)'!G3</f>
        <v/>
      </c>
      <c r="D21" s="4">
        <f>'M18 Lending (On Hold)'!H3</f>
        <v/>
      </c>
      <c r="E21" s="4">
        <f>'M18 Lending (On Hold)'!I3</f>
        <v/>
      </c>
      <c r="F21" s="4">
        <f>'M18 Lending (On Hold)'!J3</f>
        <v/>
      </c>
      <c r="G21" s="5">
        <f>IF(B21=0,0,(B21-F21)/B21)</f>
        <v/>
      </c>
    </row>
    <row r="22">
      <c r="A22" s="3" t="inlineStr">
        <is>
          <t>M19 Learning &amp; Content</t>
        </is>
      </c>
      <c r="B22" s="4">
        <f>'M19 Learning &amp; Content'!F3</f>
        <v/>
      </c>
      <c r="C22" s="4">
        <f>'M19 Learning &amp; Content'!G3</f>
        <v/>
      </c>
      <c r="D22" s="4">
        <f>'M19 Learning &amp; Content'!H3</f>
        <v/>
      </c>
      <c r="E22" s="4">
        <f>'M19 Learning &amp; Content'!I3</f>
        <v/>
      </c>
      <c r="F22" s="4">
        <f>'M19 Learning &amp; Content'!J3</f>
        <v/>
      </c>
      <c r="G22" s="5">
        <f>IF(B22=0,0,(B22-F22)/B22)</f>
        <v/>
      </c>
    </row>
    <row r="23">
      <c r="A23" s="3" t="inlineStr">
        <is>
          <t>M20 Behaviour &amp; Discipline</t>
        </is>
      </c>
      <c r="B23" s="4">
        <f>'M20 Behaviour &amp; Discipline'!F3</f>
        <v/>
      </c>
      <c r="C23" s="4">
        <f>'M20 Behaviour &amp; Discipline'!G3</f>
        <v/>
      </c>
      <c r="D23" s="4">
        <f>'M20 Behaviour &amp; Discipline'!H3</f>
        <v/>
      </c>
      <c r="E23" s="4">
        <f>'M20 Behaviour &amp; Discipline'!I3</f>
        <v/>
      </c>
      <c r="F23" s="4">
        <f>'M20 Behaviour &amp; Discipline'!J3</f>
        <v/>
      </c>
      <c r="G23" s="5">
        <f>IF(B23=0,0,(B23-F23)/B23)</f>
        <v/>
      </c>
    </row>
    <row r="24">
      <c r="A24" s="3" t="inlineStr">
        <is>
          <t>M21 Messaging</t>
        </is>
      </c>
      <c r="B24" s="4">
        <f>'M21 Messaging'!F3</f>
        <v/>
      </c>
      <c r="C24" s="4">
        <f>'M21 Messaging'!G3</f>
        <v/>
      </c>
      <c r="D24" s="4">
        <f>'M21 Messaging'!H3</f>
        <v/>
      </c>
      <c r="E24" s="4">
        <f>'M21 Messaging'!I3</f>
        <v/>
      </c>
      <c r="F24" s="4">
        <f>'M21 Messaging'!J3</f>
        <v/>
      </c>
      <c r="G24" s="5">
        <f>IF(B24=0,0,(B24-F24)/B24)</f>
        <v/>
      </c>
    </row>
    <row r="25">
      <c r="A25" s="3" t="inlineStr">
        <is>
          <t>M22 Front Desk</t>
        </is>
      </c>
      <c r="B25" s="4">
        <f>'M22 Front Desk'!F3</f>
        <v/>
      </c>
      <c r="C25" s="4">
        <f>'M22 Front Desk'!G3</f>
        <v/>
      </c>
      <c r="D25" s="4">
        <f>'M22 Front Desk'!H3</f>
        <v/>
      </c>
      <c r="E25" s="4">
        <f>'M22 Front Desk'!I3</f>
        <v/>
      </c>
      <c r="F25" s="4">
        <f>'M22 Front Desk'!J3</f>
        <v/>
      </c>
      <c r="G25" s="5">
        <f>IF(B25=0,0,(B25-F25)/B25)</f>
        <v/>
      </c>
    </row>
    <row r="26">
      <c r="A26" s="3" t="inlineStr">
        <is>
          <t>M23 Operations Hub</t>
        </is>
      </c>
      <c r="B26" s="4">
        <f>'M23 Operations Hub'!F3</f>
        <v/>
      </c>
      <c r="C26" s="4">
        <f>'M23 Operations Hub'!G3</f>
        <v/>
      </c>
      <c r="D26" s="4">
        <f>'M23 Operations Hub'!H3</f>
        <v/>
      </c>
      <c r="E26" s="4">
        <f>'M23 Operations Hub'!I3</f>
        <v/>
      </c>
      <c r="F26" s="4">
        <f>'M23 Operations Hub'!J3</f>
        <v/>
      </c>
      <c r="G26" s="5">
        <f>IF(B26=0,0,(B26-F26)/B26)</f>
        <v/>
      </c>
    </row>
    <row r="27">
      <c r="A27" s="3" t="inlineStr">
        <is>
          <t>M24 School Store</t>
        </is>
      </c>
      <c r="B27" s="4">
        <f>'M24 School Store'!F3</f>
        <v/>
      </c>
      <c r="C27" s="4">
        <f>'M24 School Store'!G3</f>
        <v/>
      </c>
      <c r="D27" s="4">
        <f>'M24 School Store'!H3</f>
        <v/>
      </c>
      <c r="E27" s="4">
        <f>'M24 School Store'!I3</f>
        <v/>
      </c>
      <c r="F27" s="4">
        <f>'M24 School Store'!J3</f>
        <v/>
      </c>
      <c r="G27" s="5">
        <f>IF(B27=0,0,(B27-F27)/B27)</f>
        <v/>
      </c>
    </row>
    <row r="28">
      <c r="A28" s="3" t="inlineStr">
        <is>
          <t>M25 Settings &amp; Branding</t>
        </is>
      </c>
      <c r="B28" s="4">
        <f>'M25 Settings &amp; Branding'!F3</f>
        <v/>
      </c>
      <c r="C28" s="4">
        <f>'M25 Settings &amp; Branding'!G3</f>
        <v/>
      </c>
      <c r="D28" s="4">
        <f>'M25 Settings &amp; Branding'!H3</f>
        <v/>
      </c>
      <c r="E28" s="4">
        <f>'M25 Settings &amp; Branding'!I3</f>
        <v/>
      </c>
      <c r="F28" s="4">
        <f>'M25 Settings &amp; Branding'!J3</f>
        <v/>
      </c>
      <c r="G28" s="5">
        <f>IF(B28=0,0,(B28-F28)/B28)</f>
        <v/>
      </c>
    </row>
    <row r="29">
      <c r="A29" s="3" t="inlineStr">
        <is>
          <t>M26 Reports &amp; Analytics</t>
        </is>
      </c>
      <c r="B29" s="4">
        <f>'M26 Reports &amp; Analytics'!F3</f>
        <v/>
      </c>
      <c r="C29" s="4">
        <f>'M26 Reports &amp; Analytics'!G3</f>
        <v/>
      </c>
      <c r="D29" s="4">
        <f>'M26 Reports &amp; Analytics'!H3</f>
        <v/>
      </c>
      <c r="E29" s="4">
        <f>'M26 Reports &amp; Analytics'!I3</f>
        <v/>
      </c>
      <c r="F29" s="4">
        <f>'M26 Reports &amp; Analytics'!J3</f>
        <v/>
      </c>
      <c r="G29" s="5">
        <f>IF(B29=0,0,(B29-F29)/B29)</f>
        <v/>
      </c>
    </row>
    <row r="30">
      <c r="A30" s="3" t="inlineStr">
        <is>
          <t>M27 Audit Log</t>
        </is>
      </c>
      <c r="B30" s="4">
        <f>'M27 Audit Log'!F3</f>
        <v/>
      </c>
      <c r="C30" s="4">
        <f>'M27 Audit Log'!G3</f>
        <v/>
      </c>
      <c r="D30" s="4">
        <f>'M27 Audit Log'!H3</f>
        <v/>
      </c>
      <c r="E30" s="4">
        <f>'M27 Audit Log'!I3</f>
        <v/>
      </c>
      <c r="F30" s="4">
        <f>'M27 Audit Log'!J3</f>
        <v/>
      </c>
      <c r="G30" s="5">
        <f>IF(B30=0,0,(B30-F30)/B30)</f>
        <v/>
      </c>
    </row>
    <row r="31">
      <c r="A31" s="3" t="inlineStr">
        <is>
          <t>M28 Notifications</t>
        </is>
      </c>
      <c r="B31" s="4">
        <f>'M28 Notifications'!F3</f>
        <v/>
      </c>
      <c r="C31" s="4">
        <f>'M28 Notifications'!G3</f>
        <v/>
      </c>
      <c r="D31" s="4">
        <f>'M28 Notifications'!H3</f>
        <v/>
      </c>
      <c r="E31" s="4">
        <f>'M28 Notifications'!I3</f>
        <v/>
      </c>
      <c r="F31" s="4">
        <f>'M28 Notifications'!J3</f>
        <v/>
      </c>
      <c r="G31" s="5">
        <f>IF(B31=0,0,(B31-F31)/B31)</f>
        <v/>
      </c>
    </row>
    <row r="32">
      <c r="A32" s="3" t="inlineStr">
        <is>
          <t>M29 Help &amp; Support</t>
        </is>
      </c>
      <c r="B32" s="4">
        <f>'M29 Help &amp; Support'!F3</f>
        <v/>
      </c>
      <c r="C32" s="4">
        <f>'M29 Help &amp; Support'!G3</f>
        <v/>
      </c>
      <c r="D32" s="4">
        <f>'M29 Help &amp; Support'!H3</f>
        <v/>
      </c>
      <c r="E32" s="4">
        <f>'M29 Help &amp; Support'!I3</f>
        <v/>
      </c>
      <c r="F32" s="4">
        <f>'M29 Help &amp; Support'!J3</f>
        <v/>
      </c>
      <c r="G32" s="5">
        <f>IF(B32=0,0,(B32-F32)/B32)</f>
        <v/>
      </c>
    </row>
    <row r="33">
      <c r="A33" s="3" t="inlineStr">
        <is>
          <t>M30 Subscription &amp; Billing</t>
        </is>
      </c>
      <c r="B33" s="4">
        <f>'M30 Subscription &amp; Billing'!F3</f>
        <v/>
      </c>
      <c r="C33" s="4">
        <f>'M30 Subscription &amp; Billing'!G3</f>
        <v/>
      </c>
      <c r="D33" s="4">
        <f>'M30 Subscription &amp; Billing'!H3</f>
        <v/>
      </c>
      <c r="E33" s="4">
        <f>'M30 Subscription &amp; Billing'!I3</f>
        <v/>
      </c>
      <c r="F33" s="4">
        <f>'M30 Subscription &amp; Billing'!J3</f>
        <v/>
      </c>
      <c r="G33" s="5">
        <f>IF(B33=0,0,(B33-F33)/B33)</f>
        <v/>
      </c>
    </row>
    <row r="34">
      <c r="A34" s="3" t="inlineStr">
        <is>
          <t>M31 AI Assistant &amp; Insights</t>
        </is>
      </c>
      <c r="B34" s="4">
        <f>'M31 AI Assistant &amp; Insights'!F3</f>
        <v/>
      </c>
      <c r="C34" s="4">
        <f>'M31 AI Assistant &amp; Insights'!G3</f>
        <v/>
      </c>
      <c r="D34" s="4">
        <f>'M31 AI Assistant &amp; Insights'!H3</f>
        <v/>
      </c>
      <c r="E34" s="4">
        <f>'M31 AI Assistant &amp; Insights'!I3</f>
        <v/>
      </c>
      <c r="F34" s="4">
        <f>'M31 AI Assistant &amp; Insights'!J3</f>
        <v/>
      </c>
      <c r="G34" s="5">
        <f>IF(B34=0,0,(B34-F34)/B34)</f>
        <v/>
      </c>
    </row>
    <row r="35">
      <c r="A35" s="3" t="inlineStr">
        <is>
          <t>M32 Public Site &amp; Acquisition</t>
        </is>
      </c>
      <c r="B35" s="4">
        <f>'M32 Public Site &amp; Acquisition'!F3</f>
        <v/>
      </c>
      <c r="C35" s="4">
        <f>'M32 Public Site &amp; Acquisition'!G3</f>
        <v/>
      </c>
      <c r="D35" s="4">
        <f>'M32 Public Site &amp; Acquisition'!H3</f>
        <v/>
      </c>
      <c r="E35" s="4">
        <f>'M32 Public Site &amp; Acquisition'!I3</f>
        <v/>
      </c>
      <c r="F35" s="4">
        <f>'M32 Public Site &amp; Acquisition'!J3</f>
        <v/>
      </c>
      <c r="G35" s="5">
        <f>IF(B35=0,0,(B35-F35)/B35)</f>
        <v/>
      </c>
    </row>
    <row r="36">
      <c r="A36" s="3" t="inlineStr">
        <is>
          <t>M33 Role Dashboards</t>
        </is>
      </c>
      <c r="B36" s="4">
        <f>'M33 Role Dashboards'!F3</f>
        <v/>
      </c>
      <c r="C36" s="4">
        <f>'M33 Role Dashboards'!G3</f>
        <v/>
      </c>
      <c r="D36" s="4">
        <f>'M33 Role Dashboards'!H3</f>
        <v/>
      </c>
      <c r="E36" s="4">
        <f>'M33 Role Dashboards'!I3</f>
        <v/>
      </c>
      <c r="F36" s="4">
        <f>'M33 Role Dashboards'!J3</f>
        <v/>
      </c>
      <c r="G36" s="5">
        <f>IF(B36=0,0,(B36-F36)/B36)</f>
        <v/>
      </c>
    </row>
    <row r="37">
      <c r="A37" s="3" t="inlineStr">
        <is>
          <t>M34 COP Platform Settings</t>
        </is>
      </c>
      <c r="B37" s="4">
        <f>'M34 COP Platform Settings'!F3</f>
        <v/>
      </c>
      <c r="C37" s="4">
        <f>'M34 COP Platform Settings'!G3</f>
        <v/>
      </c>
      <c r="D37" s="4">
        <f>'M34 COP Platform Settings'!H3</f>
        <v/>
      </c>
      <c r="E37" s="4">
        <f>'M34 COP Platform Settings'!I3</f>
        <v/>
      </c>
      <c r="F37" s="4">
        <f>'M34 COP Platform Settings'!J3</f>
        <v/>
      </c>
      <c r="G37" s="5">
        <f>IF(B37=0,0,(B37-F37)/B37)</f>
        <v/>
      </c>
    </row>
    <row r="38">
      <c r="A38" s="3" t="inlineStr">
        <is>
          <t>X1 Auth &amp; Tenancy</t>
        </is>
      </c>
      <c r="B38" s="4">
        <f>'X1 Auth &amp; Tenancy'!F3</f>
        <v/>
      </c>
      <c r="C38" s="4">
        <f>'X1 Auth &amp; Tenancy'!G3</f>
        <v/>
      </c>
      <c r="D38" s="4">
        <f>'X1 Auth &amp; Tenancy'!H3</f>
        <v/>
      </c>
      <c r="E38" s="4">
        <f>'X1 Auth &amp; Tenancy'!I3</f>
        <v/>
      </c>
      <c r="F38" s="4">
        <f>'X1 Auth &amp; Tenancy'!J3</f>
        <v/>
      </c>
      <c r="G38" s="5">
        <f>IF(B38=0,0,(B38-F38)/B38)</f>
        <v/>
      </c>
    </row>
    <row r="39">
      <c r="A39" s="3" t="inlineStr">
        <is>
          <t>X2 Offline &amp; PWA</t>
        </is>
      </c>
      <c r="B39" s="4">
        <f>'X2 Offline &amp; PWA'!F3</f>
        <v/>
      </c>
      <c r="C39" s="4">
        <f>'X2 Offline &amp; PWA'!G3</f>
        <v/>
      </c>
      <c r="D39" s="4">
        <f>'X2 Offline &amp; PWA'!H3</f>
        <v/>
      </c>
      <c r="E39" s="4">
        <f>'X2 Offline &amp; PWA'!I3</f>
        <v/>
      </c>
      <c r="F39" s="4">
        <f>'X2 Offline &amp; PWA'!J3</f>
        <v/>
      </c>
      <c r="G39" s="5">
        <f>IF(B39=0,0,(B39-F39)/B39)</f>
        <v/>
      </c>
    </row>
    <row r="40">
      <c r="A40" s="3" t="inlineStr">
        <is>
          <t>X3 Usability &amp; Accessibility</t>
        </is>
      </c>
      <c r="B40" s="4">
        <f>'X3 Usability &amp; Accessibility'!F3</f>
        <v/>
      </c>
      <c r="C40" s="4">
        <f>'X3 Usability &amp; Accessibility'!G3</f>
        <v/>
      </c>
      <c r="D40" s="4">
        <f>'X3 Usability &amp; Accessibility'!H3</f>
        <v/>
      </c>
      <c r="E40" s="4">
        <f>'X3 Usability &amp; Accessibility'!I3</f>
        <v/>
      </c>
      <c r="F40" s="4">
        <f>'X3 Usability &amp; Accessibility'!J3</f>
        <v/>
      </c>
      <c r="G40" s="5">
        <f>IF(B40=0,0,(B40-F40)/B40)</f>
        <v/>
      </c>
    </row>
    <row r="41">
      <c r="A41" s="6" t="inlineStr">
        <is>
          <t>TOTAL</t>
        </is>
      </c>
      <c r="B41" s="7">
        <f>SUM(B4:B40)</f>
        <v/>
      </c>
      <c r="C41" s="7">
        <f>SUM(C4:C40)</f>
        <v/>
      </c>
      <c r="D41" s="7">
        <f>SUM(D4:D40)</f>
        <v/>
      </c>
      <c r="E41" s="7">
        <f>SUM(E4:E40)</f>
        <v/>
      </c>
      <c r="F41" s="7">
        <f>SUM(F4:F40)</f>
        <v/>
      </c>
      <c r="G41" s="8">
        <f>IF(B41=0,0,(B41-F41)/B41)</f>
        <v/>
      </c>
    </row>
    <row r="44">
      <c r="A44" s="9" t="inlineStr">
        <is>
          <t>Status legend</t>
        </is>
      </c>
    </row>
    <row r="45">
      <c r="A45" s="10" t="inlineStr">
        <is>
          <t>Not-Executed</t>
        </is>
      </c>
      <c r="B45" s="11" t="inlineStr">
        <is>
          <t>Written but not yet run in this cycle.</t>
        </is>
      </c>
    </row>
    <row r="46">
      <c r="A46" s="12" t="inlineStr">
        <is>
          <t>Passed</t>
        </is>
      </c>
      <c r="B46" s="11" t="inlineStr">
        <is>
          <t>Actual result matched the expected result.</t>
        </is>
      </c>
    </row>
    <row r="47">
      <c r="A47" s="13" t="inlineStr">
        <is>
          <t>Failed</t>
        </is>
      </c>
      <c r="B47" s="11" t="inlineStr">
        <is>
          <t>Actual result differed. Log a defect and reference it in Comment.</t>
        </is>
      </c>
    </row>
    <row r="48">
      <c r="A48" s="14" t="inlineStr">
        <is>
          <t>Blocker</t>
        </is>
      </c>
      <c r="B48" s="11" t="inlineStr">
        <is>
          <t>Could not be executed — a defect or missing data blocks the path.</t>
        </is>
      </c>
    </row>
    <row r="49">
      <c r="A49" s="15" t="inlineStr">
        <is>
          <t>N/A</t>
        </is>
      </c>
      <c r="B49" s="11" t="inlineStr">
        <is>
          <t>Not applicable to this build, plan tier or platform.</t>
        </is>
      </c>
    </row>
    <row r="52">
      <c r="A52" s="16" t="inlineStr">
        <is>
          <t>How to use this workbook</t>
        </is>
      </c>
    </row>
    <row r="53">
      <c r="A53" s="17" t="inlineStr">
        <is>
          <t>1. Upload to Google Drive and open with Google Sheets — tabs, dropdowns and colour rules are preserved.</t>
        </is>
      </c>
    </row>
    <row r="54">
      <c r="A54" s="17" t="inlineStr">
        <is>
          <t>2. Tabs M01-M34 map one-to-one onto the modules in CASPAA_PRD_v4.md (v4.1). X1-X3 are cross-cutting suites.</t>
        </is>
      </c>
    </row>
    <row r="55">
      <c r="A55" s="17" t="inlineStr">
        <is>
          <t>3. Work one tab at a time. Set Status from the dropdown in column C; the counters in F3:J3 update live.</t>
        </is>
      </c>
    </row>
    <row r="56">
      <c r="A56" s="17" t="inlineStr">
        <is>
          <t>4. Record a defect ID and a one-line observation in Comment for every Failed or Blocker.</t>
        </is>
      </c>
    </row>
    <row r="57">
      <c r="A57" s="17" t="inlineStr">
        <is>
          <t>5. This Summary rolls up every scenario tab automatically — do not overwrite its formulas.</t>
        </is>
      </c>
    </row>
    <row r="58">
      <c r="A58" s="17" t="inlineStr">
        <is>
          <t>6. 'Test Cases (Detailed)' holds step-level cases for the highest-risk flow in each module.</t>
        </is>
      </c>
    </row>
    <row r="59">
      <c r="A59" s="17" t="inlineStr">
        <is>
          <t>7. M18 Lending is ON HOLD: those scenarios assert the feature stays unreachable, and all should pass.</t>
        </is>
      </c>
    </row>
    <row r="60">
      <c r="A60" s="17" t="inlineStr">
        <is>
          <t>8. Re-baseline by setting every Status back to Not-Executed at the start of each regression cycle.</t>
        </is>
      </c>
    </row>
  </sheetData>
  <mergeCells count="15">
    <mergeCell ref="B47:G47"/>
    <mergeCell ref="A60:G60"/>
    <mergeCell ref="A58:G58"/>
    <mergeCell ref="A1:G1"/>
    <mergeCell ref="B46:G46"/>
    <mergeCell ref="A56:G56"/>
    <mergeCell ref="B45:G45"/>
    <mergeCell ref="A53:G53"/>
    <mergeCell ref="A55:G55"/>
    <mergeCell ref="B49:G49"/>
    <mergeCell ref="A54:G54"/>
    <mergeCell ref="A52:G52"/>
    <mergeCell ref="A59:G59"/>
    <mergeCell ref="A57:G57"/>
    <mergeCell ref="B48:G4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M01 Students &amp; Admissions</t>
        </is>
      </c>
    </row>
    <row r="2">
      <c r="A2" s="19" t="n">
        <v>1</v>
      </c>
      <c r="B2" s="20" t="inlineStr">
        <is>
          <t>Verify that a student can be added with name, DOB, gender, class, house, admission number, photo and parent link.</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a duplicate admission number is rejected with a clear error and the student is not saved.</t>
        </is>
      </c>
      <c r="C3" s="10" t="inlineStr">
        <is>
          <t>Not-Executed</t>
        </is>
      </c>
      <c r="D3" s="21" t="inlineStr"/>
      <c r="F3" s="10">
        <f>COUNTA(B2:B21)</f>
        <v/>
      </c>
      <c r="G3" s="10">
        <f>COUNTIF(C2:C21,"Passed")</f>
        <v/>
      </c>
      <c r="H3" s="10">
        <f>COUNTIF(C2:C21,"Failed")</f>
        <v/>
      </c>
      <c r="I3" s="10">
        <f>COUNTIF(C2:C21,"Blocker")</f>
        <v/>
      </c>
      <c r="J3" s="10">
        <f>COUNTIF(C2:C21,"Not-Executed")</f>
        <v/>
      </c>
    </row>
    <row r="4">
      <c r="A4" s="19" t="n">
        <v>3</v>
      </c>
      <c r="B4" s="20" t="inlineStr">
        <is>
          <t>Verify that a newly added student appears immediately in the class roster, attendance register and fee module.</t>
        </is>
      </c>
      <c r="C4" s="10" t="inlineStr">
        <is>
          <t>Not-Executed</t>
        </is>
      </c>
      <c r="D4" s="21" t="inlineStr"/>
    </row>
    <row r="5">
      <c r="A5" s="19" t="n">
        <v>4</v>
      </c>
      <c r="B5" s="20" t="inlineStr">
        <is>
          <t>Verify that the linked parent receives an in-app notification when their child is registered.</t>
        </is>
      </c>
      <c r="C5" s="10" t="inlineStr">
        <is>
          <t>Not-Executed</t>
        </is>
      </c>
      <c r="D5" s="21" t="inlineStr"/>
    </row>
    <row r="6">
      <c r="A6" s="19" t="n">
        <v>5</v>
      </c>
      <c r="B6" s="20" t="inlineStr">
        <is>
          <t>Verify that a CSV bulk import previews the parsed rows before anything is committed.</t>
        </is>
      </c>
      <c r="C6" s="10" t="inlineStr">
        <is>
          <t>Not-Executed</t>
        </is>
      </c>
      <c r="D6" s="21" t="inlineStr"/>
    </row>
    <row r="7">
      <c r="A7" s="19" t="n">
        <v>6</v>
      </c>
      <c r="B7" s="20" t="inlineStr">
        <is>
          <t>Verify that invalid CSV rows are flagged with a specific reason while the valid rows still import.</t>
        </is>
      </c>
      <c r="C7" s="10" t="inlineStr">
        <is>
          <t>Not-Executed</t>
        </is>
      </c>
      <c r="D7" s="21" t="inlineStr"/>
    </row>
    <row r="8">
      <c r="A8" s="19" t="n">
        <v>7</v>
      </c>
      <c r="B8" s="20" t="inlineStr">
        <is>
          <t>Verify that one bad row in a CSV never blocks the import of the remaining rows.</t>
        </is>
      </c>
      <c r="C8" s="10" t="inlineStr">
        <is>
          <t>Not-Executed</t>
        </is>
      </c>
      <c r="D8" s="21" t="inlineStr"/>
    </row>
    <row r="9">
      <c r="A9" s="19" t="n">
        <v>8</v>
      </c>
      <c r="B9" s="20" t="inlineStr">
        <is>
          <t>Verify that an online admission application can be accepted and converts into an enrolled student.</t>
        </is>
      </c>
      <c r="C9" s="10" t="inlineStr">
        <is>
          <t>Not-Executed</t>
        </is>
      </c>
      <c r="D9" s="21" t="inlineStr"/>
    </row>
    <row r="10">
      <c r="A10" s="19" t="n">
        <v>9</v>
      </c>
      <c r="B10" s="20" t="inlineStr">
        <is>
          <t>Verify that an admission application can be rejected with a reason recorded.</t>
        </is>
      </c>
      <c r="C10" s="10" t="inlineStr">
        <is>
          <t>Not-Executed</t>
        </is>
      </c>
      <c r="D10" s="21" t="inlineStr"/>
    </row>
    <row r="11">
      <c r="A11" s="19" t="n">
        <v>10</v>
      </c>
      <c r="B11" s="20" t="inlineStr">
        <is>
          <t>Verify that the Returning Student flow restores the prior record instead of creating a duplicate.</t>
        </is>
      </c>
      <c r="C11" s="10" t="inlineStr">
        <is>
          <t>Not-Executed</t>
        </is>
      </c>
      <c r="D11" s="21" t="inlineStr"/>
    </row>
    <row r="12">
      <c r="A12" s="19" t="n">
        <v>11</v>
      </c>
      <c r="B12" s="20" t="inlineStr">
        <is>
          <t>Verify that bulk promotion moves an entire class to the next class in one action.</t>
        </is>
      </c>
      <c r="C12" s="10" t="inlineStr">
        <is>
          <t>Not-Executed</t>
        </is>
      </c>
      <c r="D12" s="21" t="inlineStr"/>
    </row>
    <row r="13">
      <c r="A13" s="19" t="n">
        <v>12</v>
      </c>
      <c r="B13" s="20" t="inlineStr">
        <is>
          <t>Verify that graduating a class sets status to alumni and removes them from active rosters.</t>
        </is>
      </c>
      <c r="C13" s="10" t="inlineStr">
        <is>
          <t>Not-Executed</t>
        </is>
      </c>
      <c r="D13" s="21" t="inlineStr"/>
    </row>
    <row r="14">
      <c r="A14" s="19" t="n">
        <v>13</v>
      </c>
      <c r="B14" s="20" t="inlineStr">
        <is>
          <t>Verify that a graduated student's ledger and academic history remain fully intact.</t>
        </is>
      </c>
      <c r="C14" s="10" t="inlineStr">
        <is>
          <t>Not-Executed</t>
        </is>
      </c>
      <c r="D14" s="21" t="inlineStr"/>
    </row>
    <row r="15">
      <c r="A15" s="19" t="n">
        <v>14</v>
      </c>
      <c r="B15" s="20" t="inlineStr">
        <is>
          <t>Verify that deactivating a student hides them from active rosters but preserves their records.</t>
        </is>
      </c>
      <c r="C15" s="10" t="inlineStr">
        <is>
          <t>Not-Executed</t>
        </is>
      </c>
      <c r="D15" s="21" t="inlineStr"/>
    </row>
    <row r="16">
      <c r="A16" s="19" t="n">
        <v>15</v>
      </c>
      <c r="B16" s="20" t="inlineStr">
        <is>
          <t>Verify that re-admitting a deactivated student restores them cleanly with history preserved.</t>
        </is>
      </c>
      <c r="C16" s="10" t="inlineStr">
        <is>
          <t>Not-Executed</t>
        </is>
      </c>
      <c r="D16" s="21" t="inlineStr"/>
    </row>
    <row r="17">
      <c r="A17" s="19" t="n">
        <v>16</v>
      </c>
      <c r="B17" s="20" t="inlineStr">
        <is>
          <t>Verify that the Suspensions tab lists only students with an un-reinstated suspension.</t>
        </is>
      </c>
      <c r="C17" s="10" t="inlineStr">
        <is>
          <t>Not-Executed</t>
        </is>
      </c>
      <c r="D17" s="21" t="inlineStr"/>
    </row>
    <row r="18">
      <c r="A18" s="19" t="n">
        <v>17</v>
      </c>
      <c r="B18" s="20" t="inlineStr">
        <is>
          <t>Verify that the pending-admissions nav badge count matches the Admissions tab contents.</t>
        </is>
      </c>
      <c r="C18" s="10" t="inlineStr">
        <is>
          <t>Not-Executed</t>
        </is>
      </c>
      <c r="D18" s="21" t="inlineStr"/>
    </row>
    <row r="19">
      <c r="A19" s="19" t="n">
        <v>18</v>
      </c>
      <c r="B19" s="20" t="inlineStr">
        <is>
          <t>Verify that enrolment analytics figures reconcile exactly to the student table.</t>
        </is>
      </c>
      <c r="C19" s="10" t="inlineStr">
        <is>
          <t>Not-Executed</t>
        </is>
      </c>
      <c r="D19" s="21" t="inlineStr"/>
    </row>
    <row r="20">
      <c r="A20" s="19" t="n">
        <v>19</v>
      </c>
      <c r="B20" s="20" t="inlineStr">
        <is>
          <t>Verify that a student created in one branch is not visible in any other branch.</t>
        </is>
      </c>
      <c r="C20" s="10" t="inlineStr">
        <is>
          <t>Not-Executed</t>
        </is>
      </c>
      <c r="D20" s="21" t="inlineStr"/>
    </row>
    <row r="21">
      <c r="A21" s="19" t="n">
        <v>20</v>
      </c>
      <c r="B21" s="20" t="inlineStr">
        <is>
          <t>Verify that a student photo upload rejects unsupported formats with a clear message.</t>
        </is>
      </c>
      <c r="C21" s="10" t="inlineStr">
        <is>
          <t>Not-Executed</t>
        </is>
      </c>
      <c r="D21" s="21" t="inlineStr"/>
    </row>
  </sheetData>
  <mergeCells count="1">
    <mergeCell ref="F1:J1"/>
  </mergeCells>
  <conditionalFormatting sqref="C2:C21">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21" showDropDown="0" showInputMessage="0" showErrorMessage="0" allowBlank="1" type="list">
      <formula1>"Not-Executed,Passed,Failed,Blocker,N/A"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8"/>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M02 Academic Management</t>
        </is>
      </c>
    </row>
    <row r="2">
      <c r="A2" s="19" t="n">
        <v>1</v>
      </c>
      <c r="B2" s="20" t="inlineStr">
        <is>
          <t>Verify that the academic session, terms and holidays can be defined in the calendar.</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term dates set here drive scheduling across every other module.</t>
        </is>
      </c>
      <c r="C3" s="10" t="inlineStr">
        <is>
          <t>Not-Executed</t>
        </is>
      </c>
      <c r="D3" s="21" t="inlineStr"/>
      <c r="F3" s="10">
        <f>COUNTA(B2:B18)</f>
        <v/>
      </c>
      <c r="G3" s="10">
        <f>COUNTIF(C2:C18,"Passed")</f>
        <v/>
      </c>
      <c r="H3" s="10">
        <f>COUNTIF(C2:C18,"Failed")</f>
        <v/>
      </c>
      <c r="I3" s="10">
        <f>COUNTIF(C2:C18,"Blocker")</f>
        <v/>
      </c>
      <c r="J3" s="10">
        <f>COUNTIF(C2:C18,"Not-Executed")</f>
        <v/>
      </c>
    </row>
    <row r="4">
      <c r="A4" s="19" t="n">
        <v>3</v>
      </c>
      <c r="B4" s="20" t="inlineStr">
        <is>
          <t>Verify that class arms can be created under a parent class.</t>
        </is>
      </c>
      <c r="C4" s="10" t="inlineStr">
        <is>
          <t>Not-Executed</t>
        </is>
      </c>
      <c r="D4" s="21" t="inlineStr"/>
    </row>
    <row r="5">
      <c r="A5" s="19" t="n">
        <v>4</v>
      </c>
      <c r="B5" s="20" t="inlineStr">
        <is>
          <t>Verify that a subject can be added to the curriculum for a specific class.</t>
        </is>
      </c>
      <c r="C5" s="10" t="inlineStr">
        <is>
          <t>Not-Executed</t>
        </is>
      </c>
      <c r="D5" s="21" t="inlineStr"/>
    </row>
    <row r="6">
      <c r="A6" s="19" t="n">
        <v>5</v>
      </c>
      <c r="B6" s="20" t="inlineStr">
        <is>
          <t>Verify that the timetable can be built with periods per class per day.</t>
        </is>
      </c>
      <c r="C6" s="10" t="inlineStr">
        <is>
          <t>Not-Executed</t>
        </is>
      </c>
      <c r="D6" s="21" t="inlineStr"/>
    </row>
    <row r="7">
      <c r="A7" s="19" t="n">
        <v>6</v>
      </c>
      <c r="B7" s="20" t="inlineStr">
        <is>
          <t>Verify that a timetable clash for the same teacher in two places is surfaced.</t>
        </is>
      </c>
      <c r="C7" s="10" t="inlineStr">
        <is>
          <t>Not-Executed</t>
        </is>
      </c>
      <c r="D7" s="21" t="inlineStr"/>
    </row>
    <row r="8">
      <c r="A8" s="19" t="n">
        <v>7</v>
      </c>
      <c r="B8" s="20" t="inlineStr">
        <is>
          <t>Verify that the published timetable is visible to the assigned teachers.</t>
        </is>
      </c>
      <c r="C8" s="10" t="inlineStr">
        <is>
          <t>Not-Executed</t>
        </is>
      </c>
      <c r="D8" s="21" t="inlineStr"/>
    </row>
    <row r="9">
      <c r="A9" s="19" t="n">
        <v>8</v>
      </c>
      <c r="B9" s="20" t="inlineStr">
        <is>
          <t>Verify that the published timetable is visible to the students of that class.</t>
        </is>
      </c>
      <c r="C9" s="10" t="inlineStr">
        <is>
          <t>Not-Executed</t>
        </is>
      </c>
      <c r="D9" s="21" t="inlineStr"/>
    </row>
    <row r="10">
      <c r="A10" s="19" t="n">
        <v>9</v>
      </c>
      <c r="B10" s="20" t="inlineStr">
        <is>
          <t>Verify that a scheme of work can be added per subject per term.</t>
        </is>
      </c>
      <c r="C10" s="10" t="inlineStr">
        <is>
          <t>Not-Executed</t>
        </is>
      </c>
      <c r="D10" s="21" t="inlineStr"/>
    </row>
    <row r="11">
      <c r="A11" s="19" t="n">
        <v>10</v>
      </c>
      <c r="B11" s="20" t="inlineStr">
        <is>
          <t>Verify that the assessment structure sets the CA and exam weighting used by results.</t>
        </is>
      </c>
      <c r="C11" s="10" t="inlineStr">
        <is>
          <t>Not-Executed</t>
        </is>
      </c>
      <c r="D11" s="21" t="inlineStr"/>
    </row>
    <row r="12">
      <c r="A12" s="19" t="n">
        <v>11</v>
      </c>
      <c r="B12" s="20" t="inlineStr">
        <is>
          <t>Verify that grade boundaries configured here are applied when grades are computed.</t>
        </is>
      </c>
      <c r="C12" s="10" t="inlineStr">
        <is>
          <t>Not-Executed</t>
        </is>
      </c>
      <c r="D12" s="21" t="inlineStr"/>
    </row>
    <row r="13">
      <c r="A13" s="19" t="n">
        <v>12</v>
      </c>
      <c r="B13" s="20" t="inlineStr">
        <is>
          <t>Verify that the results broadsheet ranks students by average automatically.</t>
        </is>
      </c>
      <c r="C13" s="10" t="inlineStr">
        <is>
          <t>Not-Executed</t>
        </is>
      </c>
      <c r="D13" s="21" t="inlineStr"/>
    </row>
    <row r="14">
      <c r="A14" s="19" t="n">
        <v>13</v>
      </c>
      <c r="B14" s="20" t="inlineStr">
        <is>
          <t>Verify that the broadsheet figures match the individual report cards exactly.</t>
        </is>
      </c>
      <c r="C14" s="10" t="inlineStr">
        <is>
          <t>Not-Executed</t>
        </is>
      </c>
      <c r="D14" s="21" t="inlineStr"/>
    </row>
    <row r="15">
      <c r="A15" s="19" t="n">
        <v>14</v>
      </c>
      <c r="B15" s="20" t="inlineStr">
        <is>
          <t>Verify that a class with no timetable shows an empty state rather than an error.</t>
        </is>
      </c>
      <c r="C15" s="10" t="inlineStr">
        <is>
          <t>Not-Executed</t>
        </is>
      </c>
      <c r="D15" s="21" t="inlineStr"/>
    </row>
    <row r="16">
      <c r="A16" s="19" t="n">
        <v>15</v>
      </c>
      <c r="B16" s="20" t="inlineStr">
        <is>
          <t>Verify that academic data is scoped to the active branch only.</t>
        </is>
      </c>
      <c r="C16" s="10" t="inlineStr">
        <is>
          <t>Not-Executed</t>
        </is>
      </c>
      <c r="D16" s="21" t="inlineStr"/>
    </row>
    <row r="17">
      <c r="A17" s="19" t="n">
        <v>16</v>
      </c>
      <c r="B17" s="20" t="inlineStr">
        <is>
          <t>Verify that deleting a class in use is prevented or warns about dependent records.</t>
        </is>
      </c>
      <c r="C17" s="10" t="inlineStr">
        <is>
          <t>Not-Executed</t>
        </is>
      </c>
      <c r="D17" s="21" t="inlineStr"/>
    </row>
    <row r="18">
      <c r="A18" s="19" t="n">
        <v>17</v>
      </c>
      <c r="B18" s="20" t="inlineStr">
        <is>
          <t>Verify that a subject can be assigned to a teacher and appears in their class list.</t>
        </is>
      </c>
      <c r="C18" s="10" t="inlineStr">
        <is>
          <t>Not-Executed</t>
        </is>
      </c>
      <c r="D18" s="21" t="inlineStr"/>
    </row>
  </sheetData>
  <mergeCells count="1">
    <mergeCell ref="F1:J1"/>
  </mergeCells>
  <conditionalFormatting sqref="C2:C18">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8" showDropDown="0" showInputMessage="0" showErrorMessage="0" allowBlank="1" type="list">
      <formula1>"Not-Executed,Passed,Failed,Blocker,N/A"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M03 Attendance</t>
        </is>
      </c>
    </row>
    <row r="2">
      <c r="A2" s="19" t="n">
        <v>1</v>
      </c>
      <c r="B2" s="20" t="inlineStr">
        <is>
          <t>Verify that a teacher can open their class and every student defaults to Present.</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today's date is auto-filled on the attendance screen.</t>
        </is>
      </c>
      <c r="C3" s="10" t="inlineStr">
        <is>
          <t>Not-Executed</t>
        </is>
      </c>
      <c r="D3" s="21" t="inlineStr"/>
      <c r="F3" s="10">
        <f>COUNTA(B2:B17)</f>
        <v/>
      </c>
      <c r="G3" s="10">
        <f>COUNTIF(C2:C17,"Passed")</f>
        <v/>
      </c>
      <c r="H3" s="10">
        <f>COUNTIF(C2:C17,"Failed")</f>
        <v/>
      </c>
      <c r="I3" s="10">
        <f>COUNTIF(C2:C17,"Blocker")</f>
        <v/>
      </c>
      <c r="J3" s="10">
        <f>COUNTIF(C2:C17,"Not-Executed")</f>
        <v/>
      </c>
    </row>
    <row r="4">
      <c r="A4" s="19" t="n">
        <v>3</v>
      </c>
      <c r="B4" s="20" t="inlineStr">
        <is>
          <t>Verify that a student can be toggled between Present, Absent and Late.</t>
        </is>
      </c>
      <c r="C4" s="10" t="inlineStr">
        <is>
          <t>Not-Executed</t>
        </is>
      </c>
      <c r="D4" s="21" t="inlineStr"/>
    </row>
    <row r="5">
      <c r="A5" s="19" t="n">
        <v>4</v>
      </c>
      <c r="B5" s="20" t="inlineStr">
        <is>
          <t>Verify that a Late mark is recorded and reported distinctly from Absent.</t>
        </is>
      </c>
      <c r="C5" s="10" t="inlineStr">
        <is>
          <t>Not-Executed</t>
        </is>
      </c>
      <c r="D5" s="21" t="inlineStr"/>
    </row>
    <row r="6">
      <c r="A6" s="19" t="n">
        <v>5</v>
      </c>
      <c r="B6" s="20" t="inlineStr">
        <is>
          <t>Verify that submitting attendance saves it against schoolId, classId, date and teacher.</t>
        </is>
      </c>
      <c r="C6" s="10" t="inlineStr">
        <is>
          <t>Not-Executed</t>
        </is>
      </c>
      <c r="D6" s="21" t="inlineStr"/>
    </row>
    <row r="7">
      <c r="A7" s="19" t="n">
        <v>6</v>
      </c>
      <c r="B7" s="20" t="inlineStr">
        <is>
          <t>Verify that the same class and date cannot be submitted twice without an admin override.</t>
        </is>
      </c>
      <c r="C7" s="10" t="inlineStr">
        <is>
          <t>Not-Executed</t>
        </is>
      </c>
      <c r="D7" s="21" t="inlineStr"/>
    </row>
    <row r="8">
      <c r="A8" s="19" t="n">
        <v>7</v>
      </c>
      <c r="B8" s="20" t="inlineStr">
        <is>
          <t>Verify that parents of absent students receive an alert the same day.</t>
        </is>
      </c>
      <c r="C8" s="10" t="inlineStr">
        <is>
          <t>Not-Executed</t>
        </is>
      </c>
      <c r="D8" s="21" t="inlineStr"/>
    </row>
    <row r="9">
      <c r="A9" s="19" t="n">
        <v>8</v>
      </c>
      <c r="B9" s="20" t="inlineStr">
        <is>
          <t>Verify that the attendance percentage per class and per day is calculated correctly.</t>
        </is>
      </c>
      <c r="C9" s="10" t="inlineStr">
        <is>
          <t>Not-Executed</t>
        </is>
      </c>
      <c r="D9" s="21" t="inlineStr"/>
    </row>
    <row r="10">
      <c r="A10" s="19" t="n">
        <v>9</v>
      </c>
      <c r="B10" s="20" t="inlineStr">
        <is>
          <t>Verify that a parent can see only their own child's attendance record.</t>
        </is>
      </c>
      <c r="C10" s="10" t="inlineStr">
        <is>
          <t>Not-Executed</t>
        </is>
      </c>
      <c r="D10" s="21" t="inlineStr"/>
    </row>
    <row r="11">
      <c r="A11" s="19" t="n">
        <v>10</v>
      </c>
      <c r="B11" s="20" t="inlineStr">
        <is>
          <t>Verify that attendance marked while offline is stored locally and syncs on reconnect.</t>
        </is>
      </c>
      <c r="C11" s="10" t="inlineStr">
        <is>
          <t>Not-Executed</t>
        </is>
      </c>
      <c r="D11" s="21" t="inlineStr"/>
    </row>
    <row r="12">
      <c r="A12" s="19" t="n">
        <v>11</v>
      </c>
      <c r="B12" s="20" t="inlineStr">
        <is>
          <t>Verify that an offline submission which later syncs does not create a duplicate record.</t>
        </is>
      </c>
      <c r="C12" s="10" t="inlineStr">
        <is>
          <t>Not-Executed</t>
        </is>
      </c>
      <c r="D12" s="21" t="inlineStr"/>
    </row>
    <row r="13">
      <c r="A13" s="19" t="n">
        <v>12</v>
      </c>
      <c r="B13" s="20" t="inlineStr">
        <is>
          <t>Verify that a teacher can take attendance only for classes assigned to them.</t>
        </is>
      </c>
      <c r="C13" s="10" t="inlineStr">
        <is>
          <t>Not-Executed</t>
        </is>
      </c>
      <c r="D13" s="21" t="inlineStr"/>
    </row>
    <row r="14">
      <c r="A14" s="19" t="n">
        <v>13</v>
      </c>
      <c r="B14" s="20" t="inlineStr">
        <is>
          <t>Verify that an admin can view school-wide and per-class attendance rates.</t>
        </is>
      </c>
      <c r="C14" s="10" t="inlineStr">
        <is>
          <t>Not-Executed</t>
        </is>
      </c>
      <c r="D14" s="21" t="inlineStr"/>
    </row>
    <row r="15">
      <c r="A15" s="19" t="n">
        <v>14</v>
      </c>
      <c r="B15" s="20" t="inlineStr">
        <is>
          <t>Verify that a class with no students shows an empty state rather than an error.</t>
        </is>
      </c>
      <c r="C15" s="10" t="inlineStr">
        <is>
          <t>Not-Executed</t>
        </is>
      </c>
      <c r="D15" s="21" t="inlineStr"/>
    </row>
    <row r="16">
      <c r="A16" s="19" t="n">
        <v>15</v>
      </c>
      <c r="B16" s="20" t="inlineStr">
        <is>
          <t>Verify that approved staff leave is reflected correctly in the register.</t>
        </is>
      </c>
      <c r="C16" s="10" t="inlineStr">
        <is>
          <t>Not-Executed</t>
        </is>
      </c>
      <c r="D16" s="21" t="inlineStr"/>
    </row>
    <row r="17">
      <c r="A17" s="19" t="n">
        <v>16</v>
      </c>
      <c r="B17" s="20" t="inlineStr">
        <is>
          <t>Verify that a student absent three consecutive days raises the at-risk insight.</t>
        </is>
      </c>
      <c r="C17" s="10" t="inlineStr">
        <is>
          <t>Not-Executed</t>
        </is>
      </c>
      <c r="D17" s="21" t="inlineStr"/>
    </row>
  </sheetData>
  <mergeCells count="1">
    <mergeCell ref="F1:J1"/>
  </mergeCells>
  <conditionalFormatting sqref="C2:C17">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7" showDropDown="0" showInputMessage="0" showErrorMessage="0" allowBlank="1" type="list">
      <formula1>"Not-Executed,Passed,Failed,Blocker,N/A"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9"/>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M04 Results &amp; Reporting</t>
        </is>
      </c>
    </row>
    <row r="2">
      <c r="A2" s="19" t="n">
        <v>1</v>
      </c>
      <c r="B2" s="20" t="inlineStr">
        <is>
          <t>Verify that a teacher can enter CA and exam scores for every student in a subject.</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the total is auto-computed as CA plus Exam.</t>
        </is>
      </c>
      <c r="C3" s="10" t="inlineStr">
        <is>
          <t>Not-Executed</t>
        </is>
      </c>
      <c r="D3" s="21" t="inlineStr"/>
      <c r="F3" s="10">
        <f>COUNTA(B2:B19)</f>
        <v/>
      </c>
      <c r="G3" s="10">
        <f>COUNTIF(C2:C19,"Passed")</f>
        <v/>
      </c>
      <c r="H3" s="10">
        <f>COUNTIF(C2:C19,"Failed")</f>
        <v/>
      </c>
      <c r="I3" s="10">
        <f>COUNTIF(C2:C19,"Blocker")</f>
        <v/>
      </c>
      <c r="J3" s="10">
        <f>COUNTIF(C2:C19,"Not-Executed")</f>
        <v/>
      </c>
    </row>
    <row r="4">
      <c r="A4" s="19" t="n">
        <v>3</v>
      </c>
      <c r="B4" s="20" t="inlineStr">
        <is>
          <t>Verify that the grade assigned matches the configured grade boundaries.</t>
        </is>
      </c>
      <c r="C4" s="10" t="inlineStr">
        <is>
          <t>Not-Executed</t>
        </is>
      </c>
      <c r="D4" s="21" t="inlineStr"/>
    </row>
    <row r="5">
      <c r="A5" s="19" t="n">
        <v>4</v>
      </c>
      <c r="B5" s="20" t="inlineStr">
        <is>
          <t>Verify that a score above the configured maximum is rejected.</t>
        </is>
      </c>
      <c r="C5" s="10" t="inlineStr">
        <is>
          <t>Not-Executed</t>
        </is>
      </c>
      <c r="D5" s="21" t="inlineStr"/>
    </row>
    <row r="6">
      <c r="A6" s="19" t="n">
        <v>5</v>
      </c>
      <c r="B6" s="20" t="inlineStr">
        <is>
          <t>Verify that a negative or non-numeric score is rejected.</t>
        </is>
      </c>
      <c r="C6" s="10" t="inlineStr">
        <is>
          <t>Not-Executed</t>
        </is>
      </c>
      <c r="D6" s="21" t="inlineStr"/>
    </row>
    <row r="7">
      <c r="A7" s="19" t="n">
        <v>6</v>
      </c>
      <c r="B7" s="20" t="inlineStr">
        <is>
          <t>Verify that submitting results marks them pending approval and not yet visible downstream.</t>
        </is>
      </c>
      <c r="C7" s="10" t="inlineStr">
        <is>
          <t>Not-Executed</t>
        </is>
      </c>
      <c r="D7" s="21" t="inlineStr"/>
    </row>
    <row r="8">
      <c r="A8" s="19" t="n">
        <v>7</v>
      </c>
      <c r="B8" s="20" t="inlineStr">
        <is>
          <t>Verify that pending results are not visible to parents or students in any view.</t>
        </is>
      </c>
      <c r="C8" s="10" t="inlineStr">
        <is>
          <t>Not-Executed</t>
        </is>
      </c>
      <c r="D8" s="21" t="inlineStr"/>
    </row>
    <row r="9">
      <c r="A9" s="19" t="n">
        <v>8</v>
      </c>
      <c r="B9" s="20" t="inlineStr">
        <is>
          <t>Verify that a parent or student sees a pending banner while results await approval.</t>
        </is>
      </c>
      <c r="C9" s="10" t="inlineStr">
        <is>
          <t>Not-Executed</t>
        </is>
      </c>
      <c r="D9" s="21" t="inlineStr"/>
    </row>
    <row r="10">
      <c r="A10" s="19" t="n">
        <v>9</v>
      </c>
      <c r="B10" s="20" t="inlineStr">
        <is>
          <t>Verify that Approve is disabled while any student is missing the required comment.</t>
        </is>
      </c>
      <c r="C10" s="10" t="inlineStr">
        <is>
          <t>Not-Executed</t>
        </is>
      </c>
      <c r="D10" s="21" t="inlineStr"/>
    </row>
    <row r="11">
      <c r="A11" s="19" t="n">
        <v>10</v>
      </c>
      <c r="B11" s="20" t="inlineStr">
        <is>
          <t>Verify that approving results notifies parents and students exactly once.</t>
        </is>
      </c>
      <c r="C11" s="10" t="inlineStr">
        <is>
          <t>Not-Executed</t>
        </is>
      </c>
      <c r="D11" s="21" t="inlineStr"/>
    </row>
    <row r="12">
      <c r="A12" s="19" t="n">
        <v>11</v>
      </c>
      <c r="B12" s="20" t="inlineStr">
        <is>
          <t>Verify that the broadsheet is ranked by average score.</t>
        </is>
      </c>
      <c r="C12" s="10" t="inlineStr">
        <is>
          <t>Not-Executed</t>
        </is>
      </c>
      <c r="D12" s="21" t="inlineStr"/>
    </row>
    <row r="13">
      <c r="A13" s="19" t="n">
        <v>12</v>
      </c>
      <c r="B13" s="20" t="inlineStr">
        <is>
          <t>Verify that tied averages share a rank and the next rank skips accordingly.</t>
        </is>
      </c>
      <c r="C13" s="10" t="inlineStr">
        <is>
          <t>Not-Executed</t>
        </is>
      </c>
      <c r="D13" s="21" t="inlineStr"/>
    </row>
    <row r="14">
      <c r="A14" s="19" t="n">
        <v>13</v>
      </c>
      <c r="B14" s="20" t="inlineStr">
        <is>
          <t>Verify that an approved report card can be printed with the school's branding.</t>
        </is>
      </c>
      <c r="C14" s="10" t="inlineStr">
        <is>
          <t>Not-Executed</t>
        </is>
      </c>
      <c r="D14" s="21" t="inlineStr"/>
    </row>
    <row r="15">
      <c r="A15" s="19" t="n">
        <v>14</v>
      </c>
      <c r="B15" s="20" t="inlineStr">
        <is>
          <t>Verify that printed report card figures match the broadsheet exactly.</t>
        </is>
      </c>
      <c r="C15" s="10" t="inlineStr">
        <is>
          <t>Not-Executed</t>
        </is>
      </c>
      <c r="D15" s="21" t="inlineStr"/>
    </row>
    <row r="16">
      <c r="A16" s="19" t="n">
        <v>15</v>
      </c>
      <c r="B16" s="20" t="inlineStr">
        <is>
          <t>Verify that rejecting results returns them to the teacher with the reason attached.</t>
        </is>
      </c>
      <c r="C16" s="10" t="inlineStr">
        <is>
          <t>Not-Executed</t>
        </is>
      </c>
      <c r="D16" s="21" t="inlineStr"/>
    </row>
    <row r="17">
      <c r="A17" s="19" t="n">
        <v>16</v>
      </c>
      <c r="B17" s="20" t="inlineStr">
        <is>
          <t>Verify that a teacher cannot approve results they entered themselves.</t>
        </is>
      </c>
      <c r="C17" s="10" t="inlineStr">
        <is>
          <t>Not-Executed</t>
        </is>
      </c>
      <c r="D17" s="21" t="inlineStr"/>
    </row>
    <row r="18">
      <c r="A18" s="19" t="n">
        <v>17</v>
      </c>
      <c r="B18" s="20" t="inlineStr">
        <is>
          <t>Verify that changing grade boundaries does not silently rewrite already-approved results.</t>
        </is>
      </c>
      <c r="C18" s="10" t="inlineStr">
        <is>
          <t>Not-Executed</t>
        </is>
      </c>
      <c r="D18" s="21" t="inlineStr"/>
    </row>
    <row r="19">
      <c r="A19" s="19" t="n">
        <v>18</v>
      </c>
      <c r="B19" s="20" t="inlineStr">
        <is>
          <t>Verify that approval is atomic per class and subject.</t>
        </is>
      </c>
      <c r="C19" s="10" t="inlineStr">
        <is>
          <t>Not-Executed</t>
        </is>
      </c>
      <c r="D19" s="21" t="inlineStr"/>
    </row>
  </sheetData>
  <mergeCells count="1">
    <mergeCell ref="F1:J1"/>
  </mergeCells>
  <conditionalFormatting sqref="C2:C19">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9" showDropDown="0" showInputMessage="0" showErrorMessage="0" allowBlank="1" type="list">
      <formula1>"Not-Executed,Passed,Failed,Blocker,N/A"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5"/>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M05 Finance &amp; Fees (Ledger)</t>
        </is>
      </c>
    </row>
    <row r="2">
      <c r="A2" s="19" t="n">
        <v>1</v>
      </c>
      <c r="B2" s="20" t="inlineStr">
        <is>
          <t>Verify that a fee structure can be set per class and per term.</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bulk invoice generation creates exactly one invoice per active student.</t>
        </is>
      </c>
      <c r="C3" s="10" t="inlineStr">
        <is>
          <t>Not-Executed</t>
        </is>
      </c>
      <c r="D3" s="21" t="inlineStr"/>
      <c r="F3" s="10">
        <f>COUNTA(B2:B25)</f>
        <v/>
      </c>
      <c r="G3" s="10">
        <f>COUNTIF(C2:C25,"Passed")</f>
        <v/>
      </c>
      <c r="H3" s="10">
        <f>COUNTIF(C2:C25,"Failed")</f>
        <v/>
      </c>
      <c r="I3" s="10">
        <f>COUNTIF(C2:C25,"Blocker")</f>
        <v/>
      </c>
      <c r="J3" s="10">
        <f>COUNTIF(C2:C25,"Not-Executed")</f>
        <v/>
      </c>
    </row>
    <row r="4">
      <c r="A4" s="19" t="n">
        <v>3</v>
      </c>
      <c r="B4" s="20" t="inlineStr">
        <is>
          <t>Verify that the generated invoice count matches the number of active students.</t>
        </is>
      </c>
      <c r="C4" s="10" t="inlineStr">
        <is>
          <t>Not-Executed</t>
        </is>
      </c>
      <c r="D4" s="21" t="inlineStr"/>
    </row>
    <row r="5">
      <c r="A5" s="19" t="n">
        <v>4</v>
      </c>
      <c r="B5" s="20" t="inlineStr">
        <is>
          <t>Verify that parents are notified once invoices are generated.</t>
        </is>
      </c>
      <c r="C5" s="10" t="inlineStr">
        <is>
          <t>Not-Executed</t>
        </is>
      </c>
      <c r="D5" s="21" t="inlineStr"/>
    </row>
    <row r="6">
      <c r="A6" s="19" t="n">
        <v>5</v>
      </c>
      <c r="B6" s="20" t="inlineStr">
        <is>
          <t>Verify that the student ledger shows each charge, discount and payment as its own dated row.</t>
        </is>
      </c>
      <c r="C6" s="10" t="inlineStr">
        <is>
          <t>Not-Executed</t>
        </is>
      </c>
      <c r="D6" s="21" t="inlineStr"/>
    </row>
    <row r="7">
      <c r="A7" s="19" t="n">
        <v>6</v>
      </c>
      <c r="B7" s="20" t="inlineStr">
        <is>
          <t>Verify that no charges, discounts or payments are lumped into a single combined line.</t>
        </is>
      </c>
      <c r="C7" s="10" t="inlineStr">
        <is>
          <t>Not-Executed</t>
        </is>
      </c>
      <c r="D7" s="21" t="inlineStr"/>
    </row>
    <row r="8">
      <c r="A8" s="19" t="n">
        <v>7</v>
      </c>
      <c r="B8" s="20" t="inlineStr">
        <is>
          <t>Verify that the opening balance is carried forward as its own labelled row.</t>
        </is>
      </c>
      <c r="C8" s="10" t="inlineStr">
        <is>
          <t>Not-Executed</t>
        </is>
      </c>
      <c r="D8" s="21" t="inlineStr"/>
    </row>
    <row r="9">
      <c r="A9" s="19" t="n">
        <v>8</v>
      </c>
      <c r="B9" s="20" t="inlineStr">
        <is>
          <t>Verify that the running balance is correct after every transaction on the ledger.</t>
        </is>
      </c>
      <c r="C9" s="10" t="inlineStr">
        <is>
          <t>Not-Executed</t>
        </is>
      </c>
      <c r="D9" s="21" t="inlineStr"/>
    </row>
    <row r="10">
      <c r="A10" s="19" t="n">
        <v>9</v>
      </c>
      <c r="B10" s="20" t="inlineStr">
        <is>
          <t>Verify that the invariant debit total minus credit total equals the balance for every student.</t>
        </is>
      </c>
      <c r="C10" s="10" t="inlineStr">
        <is>
          <t>Not-Executed</t>
        </is>
      </c>
      <c r="D10" s="21" t="inlineStr"/>
    </row>
    <row r="11">
      <c r="A11" s="19" t="n">
        <v>10</v>
      </c>
      <c r="B11" s="20" t="inlineStr">
        <is>
          <t>Verify that an overpayment is shown as a credit balance labelled Cr.</t>
        </is>
      </c>
      <c r="C11" s="10" t="inlineStr">
        <is>
          <t>Not-Executed</t>
        </is>
      </c>
      <c r="D11" s="21" t="inlineStr"/>
    </row>
    <row r="12">
      <c r="A12" s="19" t="n">
        <v>11</v>
      </c>
      <c r="B12" s="20" t="inlineStr">
        <is>
          <t>Verify that credit is auto-applied to the next invoice and the parent is notified.</t>
        </is>
      </c>
      <c r="C12" s="10" t="inlineStr">
        <is>
          <t>Not-Executed</t>
        </is>
      </c>
      <c r="D12" s="21" t="inlineStr"/>
    </row>
    <row r="13">
      <c r="A13" s="19" t="n">
        <v>12</v>
      </c>
      <c r="B13" s="20" t="inlineStr">
        <is>
          <t>Verify that sibling, bus and special discounts each appear as separate credit lines.</t>
        </is>
      </c>
      <c r="C13" s="10" t="inlineStr">
        <is>
          <t>Not-Executed</t>
        </is>
      </c>
      <c r="D13" s="21" t="inlineStr"/>
    </row>
    <row r="14">
      <c r="A14" s="19" t="n">
        <v>13</v>
      </c>
      <c r="B14" s="20" t="inlineStr">
        <is>
          <t>Verify that discounts and opening balances never double-count against invoice totals.</t>
        </is>
      </c>
      <c r="C14" s="10" t="inlineStr">
        <is>
          <t>Not-Executed</t>
        </is>
      </c>
      <c r="D14" s="21" t="inlineStr"/>
    </row>
    <row r="15">
      <c r="A15" s="19" t="n">
        <v>14</v>
      </c>
      <c r="B15" s="20" t="inlineStr">
        <is>
          <t>Verify that adding a line item to a bill recomputes total, balance and status.</t>
        </is>
      </c>
      <c r="C15" s="10" t="inlineStr">
        <is>
          <t>Not-Executed</t>
        </is>
      </c>
      <c r="D15" s="21" t="inlineStr"/>
    </row>
    <row r="16">
      <c r="A16" s="19" t="n">
        <v>15</v>
      </c>
      <c r="B16" s="20" t="inlineStr">
        <is>
          <t>Verify that removing a line item recomputes total, balance and status.</t>
        </is>
      </c>
      <c r="C16" s="10" t="inlineStr">
        <is>
          <t>Not-Executed</t>
        </is>
      </c>
      <c r="D16" s="21" t="inlineStr"/>
    </row>
    <row r="17">
      <c r="A17" s="19" t="n">
        <v>16</v>
      </c>
      <c r="B17" s="20" t="inlineStr">
        <is>
          <t>Verify that a bank transfer is auto-matched to the right student by narration.</t>
        </is>
      </c>
      <c r="C17" s="10" t="inlineStr">
        <is>
          <t>Not-Executed</t>
        </is>
      </c>
      <c r="D17" s="21" t="inlineStr"/>
    </row>
    <row r="18">
      <c r="A18" s="19" t="n">
        <v>17</v>
      </c>
      <c r="B18" s="20" t="inlineStr">
        <is>
          <t>Verify that an incorrectly auto-matched transfer can be manually reassigned.</t>
        </is>
      </c>
      <c r="C18" s="10" t="inlineStr">
        <is>
          <t>Not-Executed</t>
        </is>
      </c>
      <c r="D18" s="21" t="inlineStr"/>
    </row>
    <row r="19">
      <c r="A19" s="19" t="n">
        <v>18</v>
      </c>
      <c r="B19" s="20" t="inlineStr">
        <is>
          <t>Verify that an expense can be recorded against a budget category.</t>
        </is>
      </c>
      <c r="C19" s="10" t="inlineStr">
        <is>
          <t>Not-Executed</t>
        </is>
      </c>
      <c r="D19" s="21" t="inlineStr"/>
    </row>
    <row r="20">
      <c r="A20" s="19" t="n">
        <v>19</v>
      </c>
      <c r="B20" s="20" t="inlineStr">
        <is>
          <t>Verify that the cost-centre overview reconciles to the expense and invoice tables.</t>
        </is>
      </c>
      <c r="C20" s="10" t="inlineStr">
        <is>
          <t>Not-Executed</t>
        </is>
      </c>
      <c r="D20" s="21" t="inlineStr"/>
    </row>
    <row r="21">
      <c r="A21" s="19" t="n">
        <v>20</v>
      </c>
      <c r="B21" s="20" t="inlineStr">
        <is>
          <t>Verify that a parent can view and print an itemised statement carrying school branding.</t>
        </is>
      </c>
      <c r="C21" s="10" t="inlineStr">
        <is>
          <t>Not-Executed</t>
        </is>
      </c>
      <c r="D21" s="21" t="inlineStr"/>
    </row>
    <row r="22">
      <c r="A22" s="19" t="n">
        <v>21</v>
      </c>
      <c r="B22" s="20" t="inlineStr">
        <is>
          <t>Verify that school store purchases appear on the ledger as their own itemised charge.</t>
        </is>
      </c>
      <c r="C22" s="10" t="inlineStr">
        <is>
          <t>Not-Executed</t>
        </is>
      </c>
      <c r="D22" s="21" t="inlineStr"/>
    </row>
    <row r="23">
      <c r="A23" s="19" t="n">
        <v>22</v>
      </c>
      <c r="B23" s="20" t="inlineStr">
        <is>
          <t>Verify that a reversed store purchase raises a credit line rather than deleting the charge.</t>
        </is>
      </c>
      <c r="C23" s="10" t="inlineStr">
        <is>
          <t>Not-Executed</t>
        </is>
      </c>
      <c r="D23" s="21" t="inlineStr"/>
    </row>
    <row r="24">
      <c r="A24" s="19" t="n">
        <v>23</v>
      </c>
      <c r="B24" s="20" t="inlineStr">
        <is>
          <t>Verify that activity fees appear on the ledger without double-counting against fee invoices.</t>
        </is>
      </c>
      <c r="C24" s="10" t="inlineStr">
        <is>
          <t>Not-Executed</t>
        </is>
      </c>
      <c r="D24" s="21" t="inlineStr"/>
    </row>
    <row r="25">
      <c r="A25" s="19" t="n">
        <v>24</v>
      </c>
      <c r="B25" s="20" t="inlineStr">
        <is>
          <t>Verify that every money action writes an immutable audit log entry.</t>
        </is>
      </c>
      <c r="C25" s="10" t="inlineStr">
        <is>
          <t>Not-Executed</t>
        </is>
      </c>
      <c r="D25" s="21" t="inlineStr"/>
    </row>
  </sheetData>
  <mergeCells count="1">
    <mergeCell ref="F1:J1"/>
  </mergeCells>
  <conditionalFormatting sqref="C2:C25">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25" showDropDown="0" showInputMessage="0" showErrorMessage="0" allowBlank="1" type="list">
      <formula1>"Not-Executed,Passed,Failed,Blocker,N/A"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7"/>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M06 Payments</t>
        </is>
      </c>
    </row>
    <row r="2">
      <c r="A2" s="19" t="n">
        <v>1</v>
      </c>
      <c r="B2" s="20" t="inlineStr">
        <is>
          <t>Verify that a parent can pay an invoice by card.</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a parent can pay an invoice by bank transfer.</t>
        </is>
      </c>
      <c r="C3" s="10" t="inlineStr">
        <is>
          <t>Not-Executed</t>
        </is>
      </c>
      <c r="D3" s="21" t="inlineStr"/>
      <c r="F3" s="10">
        <f>COUNTA(B2:B17)</f>
        <v/>
      </c>
      <c r="G3" s="10">
        <f>COUNTIF(C2:C17,"Passed")</f>
        <v/>
      </c>
      <c r="H3" s="10">
        <f>COUNTIF(C2:C17,"Failed")</f>
        <v/>
      </c>
      <c r="I3" s="10">
        <f>COUNTIF(C2:C17,"Blocker")</f>
        <v/>
      </c>
      <c r="J3" s="10">
        <f>COUNTIF(C2:C17,"Not-Executed")</f>
        <v/>
      </c>
    </row>
    <row r="4">
      <c r="A4" s="19" t="n">
        <v>3</v>
      </c>
      <c r="B4" s="20" t="inlineStr">
        <is>
          <t>Verify that a parent can pay an invoice by USSD.</t>
        </is>
      </c>
      <c r="C4" s="10" t="inlineStr">
        <is>
          <t>Not-Executed</t>
        </is>
      </c>
      <c r="D4" s="21" t="inlineStr"/>
    </row>
    <row r="5">
      <c r="A5" s="19" t="n">
        <v>4</v>
      </c>
      <c r="B5" s="20" t="inlineStr">
        <is>
          <t>Verify that a successful payment marks the invoice Paid and clears the balance.</t>
        </is>
      </c>
      <c r="C5" s="10" t="inlineStr">
        <is>
          <t>Not-Executed</t>
        </is>
      </c>
      <c r="D5" s="21" t="inlineStr"/>
    </row>
    <row r="6">
      <c r="A6" s="19" t="n">
        <v>5</v>
      </c>
      <c r="B6" s="20" t="inlineStr">
        <is>
          <t>Verify that a partial payment leaves the correct remaining balance and a part-paid status.</t>
        </is>
      </c>
      <c r="C6" s="10" t="inlineStr">
        <is>
          <t>Not-Executed</t>
        </is>
      </c>
      <c r="D6" s="21" t="inlineStr"/>
    </row>
    <row r="7">
      <c r="A7" s="19" t="n">
        <v>6</v>
      </c>
      <c r="B7" s="20" t="inlineStr">
        <is>
          <t>Verify that a receipt is available in the parent portal immediately after payment.</t>
        </is>
      </c>
      <c r="C7" s="10" t="inlineStr">
        <is>
          <t>Not-Executed</t>
        </is>
      </c>
      <c r="D7" s="21" t="inlineStr"/>
    </row>
    <row r="8">
      <c r="A8" s="19" t="n">
        <v>7</v>
      </c>
      <c r="B8" s="20" t="inlineStr">
        <is>
          <t>Verify that a receipt can be viewed, printed or downloaded at any time afterwards.</t>
        </is>
      </c>
      <c r="C8" s="10" t="inlineStr">
        <is>
          <t>Not-Executed</t>
        </is>
      </c>
      <c r="D8" s="21" t="inlineStr"/>
    </row>
    <row r="9">
      <c r="A9" s="19" t="n">
        <v>8</v>
      </c>
      <c r="B9" s="20" t="inlineStr">
        <is>
          <t>Verify that a failed payment is logged with its reason and is visible to finance.</t>
        </is>
      </c>
      <c r="C9" s="10" t="inlineStr">
        <is>
          <t>Not-Executed</t>
        </is>
      </c>
      <c r="D9" s="21" t="inlineStr"/>
    </row>
    <row r="10">
      <c r="A10" s="19" t="n">
        <v>9</v>
      </c>
      <c r="B10" s="20" t="inlineStr">
        <is>
          <t>Verify that a double-submitted payment never charges or credits twice.</t>
        </is>
      </c>
      <c r="C10" s="10" t="inlineStr">
        <is>
          <t>Not-Executed</t>
        </is>
      </c>
      <c r="D10" s="21" t="inlineStr"/>
    </row>
    <row r="11">
      <c r="A11" s="19" t="n">
        <v>10</v>
      </c>
      <c r="B11" s="20" t="inlineStr">
        <is>
          <t>Verify that a payment attempted offline queues and does not duplicate on reconnect.</t>
        </is>
      </c>
      <c r="C11" s="10" t="inlineStr">
        <is>
          <t>Not-Executed</t>
        </is>
      </c>
      <c r="D11" s="21" t="inlineStr"/>
    </row>
    <row r="12">
      <c r="A12" s="19" t="n">
        <v>11</v>
      </c>
      <c r="B12" s="20" t="inlineStr">
        <is>
          <t>Verify that multi-child Pay All processes each invoice in sequence with a method per child.</t>
        </is>
      </c>
      <c r="C12" s="10" t="inlineStr">
        <is>
          <t>Not-Executed</t>
        </is>
      </c>
      <c r="D12" s="21" t="inlineStr"/>
    </row>
    <row r="13">
      <c r="A13" s="19" t="n">
        <v>12</v>
      </c>
      <c r="B13" s="20" t="inlineStr">
        <is>
          <t>Verify that every payment is persisted with a unique gateway reference.</t>
        </is>
      </c>
      <c r="C13" s="10" t="inlineStr">
        <is>
          <t>Not-Executed</t>
        </is>
      </c>
      <c r="D13" s="21" t="inlineStr"/>
    </row>
    <row r="14">
      <c r="A14" s="19" t="n">
        <v>13</v>
      </c>
      <c r="B14" s="20" t="inlineStr">
        <is>
          <t>Verify that a parent cannot pay another family's invoice by altering the invoice ID.</t>
        </is>
      </c>
      <c r="C14" s="10" t="inlineStr">
        <is>
          <t>Not-Executed</t>
        </is>
      </c>
      <c r="D14" s="21" t="inlineStr"/>
    </row>
    <row r="15">
      <c r="A15" s="19" t="n">
        <v>14</v>
      </c>
      <c r="B15" s="20" t="inlineStr">
        <is>
          <t>Verify that the finance payments list reflects a new transaction immediately.</t>
        </is>
      </c>
      <c r="C15" s="10" t="inlineStr">
        <is>
          <t>Not-Executed</t>
        </is>
      </c>
      <c r="D15" s="21" t="inlineStr"/>
    </row>
    <row r="16">
      <c r="A16" s="19" t="n">
        <v>15</v>
      </c>
      <c r="B16" s="20" t="inlineStr">
        <is>
          <t>Verify that a gateway timeout leaves the invoice unpaid rather than in a partial state.</t>
        </is>
      </c>
      <c r="C16" s="10" t="inlineStr">
        <is>
          <t>Not-Executed</t>
        </is>
      </c>
      <c r="D16" s="21" t="inlineStr"/>
    </row>
    <row r="17">
      <c r="A17" s="19" t="n">
        <v>16</v>
      </c>
      <c r="B17" s="20" t="inlineStr">
        <is>
          <t>Verify that a refund is recorded as its own ledger movement and audited.</t>
        </is>
      </c>
      <c r="C17" s="10" t="inlineStr">
        <is>
          <t>Not-Executed</t>
        </is>
      </c>
      <c r="D17" s="21" t="inlineStr"/>
    </row>
  </sheetData>
  <mergeCells count="1">
    <mergeCell ref="F1:J1"/>
  </mergeCells>
  <conditionalFormatting sqref="C2:C17">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7" showDropDown="0" showInputMessage="0" showErrorMessage="0" allowBlank="1" type="list">
      <formula1>"Not-Executed,Passed,Failed,Blocker,N/A"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6"/>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M07 Staff &amp; HR + Payroll</t>
        </is>
      </c>
    </row>
    <row r="2">
      <c r="A2" s="19" t="n">
        <v>1</v>
      </c>
      <c r="B2" s="20" t="inlineStr">
        <is>
          <t>Verify that a staff profile can be created with role, subjects and class assignments.</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staff attendance can be recorded for a given day.</t>
        </is>
      </c>
      <c r="C3" s="10" t="inlineStr">
        <is>
          <t>Not-Executed</t>
        </is>
      </c>
      <c r="D3" s="21" t="inlineStr"/>
      <c r="F3" s="10">
        <f>COUNTA(B2:B26)</f>
        <v/>
      </c>
      <c r="G3" s="10">
        <f>COUNTIF(C2:C26,"Passed")</f>
        <v/>
      </c>
      <c r="H3" s="10">
        <f>COUNTIF(C2:C26,"Failed")</f>
        <v/>
      </c>
      <c r="I3" s="10">
        <f>COUNTIF(C2:C26,"Blocker")</f>
        <v/>
      </c>
      <c r="J3" s="10">
        <f>COUNTIF(C2:C26,"Not-Executed")</f>
        <v/>
      </c>
    </row>
    <row r="4">
      <c r="A4" s="19" t="n">
        <v>3</v>
      </c>
      <c r="B4" s="20" t="inlineStr">
        <is>
          <t>Verify that a teacher can submit a leave request with dates and a reason.</t>
        </is>
      </c>
      <c r="C4" s="10" t="inlineStr">
        <is>
          <t>Not-Executed</t>
        </is>
      </c>
      <c r="D4" s="21" t="inlineStr"/>
    </row>
    <row r="5">
      <c r="A5" s="19" t="n">
        <v>4</v>
      </c>
      <c r="B5" s="20" t="inlineStr">
        <is>
          <t>Verify that an admin can approve or decline a leave request with a note.</t>
        </is>
      </c>
      <c r="C5" s="10" t="inlineStr">
        <is>
          <t>Not-Executed</t>
        </is>
      </c>
      <c r="D5" s="21" t="inlineStr"/>
    </row>
    <row r="6">
      <c r="A6" s="19" t="n">
        <v>5</v>
      </c>
      <c r="B6" s="20" t="inlineStr">
        <is>
          <t>Verify that the leave request badge count matches the pending requests.</t>
        </is>
      </c>
      <c r="C6" s="10" t="inlineStr">
        <is>
          <t>Not-Executed</t>
        </is>
      </c>
      <c r="D6" s="21" t="inlineStr"/>
    </row>
    <row r="7">
      <c r="A7" s="19" t="n">
        <v>6</v>
      </c>
      <c r="B7" s="20" t="inlineStr">
        <is>
          <t>Verify that the teacher is notified of the leave outcome.</t>
        </is>
      </c>
      <c r="C7" s="10" t="inlineStr">
        <is>
          <t>Not-Executed</t>
        </is>
      </c>
      <c r="D7" s="21" t="inlineStr"/>
    </row>
    <row r="8">
      <c r="A8" s="19" t="n">
        <v>7</v>
      </c>
      <c r="B8" s="20" t="inlineStr">
        <is>
          <t>Verify that approved leave is reflected in the attendance register.</t>
        </is>
      </c>
      <c r="C8" s="10" t="inlineStr">
        <is>
          <t>Not-Executed</t>
        </is>
      </c>
      <c r="D8" s="21" t="inlineStr"/>
    </row>
    <row r="9">
      <c r="A9" s="19" t="n">
        <v>8</v>
      </c>
      <c r="B9" s="20" t="inlineStr">
        <is>
          <t>Verify that leave balances decrement correctly on approval.</t>
        </is>
      </c>
      <c r="C9" s="10" t="inlineStr">
        <is>
          <t>Not-Executed</t>
        </is>
      </c>
      <c r="D9" s="21" t="inlineStr"/>
    </row>
    <row r="10">
      <c r="A10" s="19" t="n">
        <v>9</v>
      </c>
      <c r="B10" s="20" t="inlineStr">
        <is>
          <t>Verify that a salary advance can be requested with an amount and repayment months.</t>
        </is>
      </c>
      <c r="C10" s="10" t="inlineStr">
        <is>
          <t>Not-Executed</t>
        </is>
      </c>
      <c r="D10" s="21" t="inlineStr"/>
    </row>
    <row r="11">
      <c r="A11" s="19" t="n">
        <v>10</v>
      </c>
      <c r="B11" s="20" t="inlineStr">
        <is>
          <t>Verify that an approved advance creates a deduction schedule.</t>
        </is>
      </c>
      <c r="C11" s="10" t="inlineStr">
        <is>
          <t>Not-Executed</t>
        </is>
      </c>
      <c r="D11" s="21" t="inlineStr"/>
    </row>
    <row r="12">
      <c r="A12" s="19" t="n">
        <v>11</v>
      </c>
      <c r="B12" s="20" t="inlineStr">
        <is>
          <t>Verify that advance deductions apply automatically in each payroll run until cleared.</t>
        </is>
      </c>
      <c r="C12" s="10" t="inlineStr">
        <is>
          <t>Not-Executed</t>
        </is>
      </c>
      <c r="D12" s="21" t="inlineStr"/>
    </row>
    <row r="13">
      <c r="A13" s="19" t="n">
        <v>12</v>
      </c>
      <c r="B13" s="20" t="inlineStr">
        <is>
          <t>Verify that an advance can never over-deduct beyond its outstanding balance.</t>
        </is>
      </c>
      <c r="C13" s="10" t="inlineStr">
        <is>
          <t>Not-Executed</t>
        </is>
      </c>
      <c r="D13" s="21" t="inlineStr"/>
    </row>
    <row r="14">
      <c r="A14" s="19" t="n">
        <v>13</v>
      </c>
      <c r="B14" s="20" t="inlineStr">
        <is>
          <t>Verify that a payroll run loads only active staff.</t>
        </is>
      </c>
      <c r="C14" s="10" t="inlineStr">
        <is>
          <t>Not-Executed</t>
        </is>
      </c>
      <c r="D14" s="21" t="inlineStr"/>
    </row>
    <row r="15">
      <c r="A15" s="19" t="n">
        <v>14</v>
      </c>
      <c r="B15" s="20" t="inlineStr">
        <is>
          <t>Verify that terminated or inactive staff are excluded from the run.</t>
        </is>
      </c>
      <c r="C15" s="10" t="inlineStr">
        <is>
          <t>Not-Executed</t>
        </is>
      </c>
      <c r="D15" s="21" t="inlineStr"/>
    </row>
    <row r="16">
      <c r="A16" s="19" t="n">
        <v>15</v>
      </c>
      <c r="B16" s="20" t="inlineStr">
        <is>
          <t>Verify that net pay equals basic plus allowances minus deductions.</t>
        </is>
      </c>
      <c r="C16" s="10" t="inlineStr">
        <is>
          <t>Not-Executed</t>
        </is>
      </c>
      <c r="D16" s="21" t="inlineStr"/>
    </row>
    <row r="17">
      <c r="A17" s="19" t="n">
        <v>16</v>
      </c>
      <c r="B17" s="20" t="inlineStr">
        <is>
          <t>Verify that adjustments made before approval update the per-staff preview.</t>
        </is>
      </c>
      <c r="C17" s="10" t="inlineStr">
        <is>
          <t>Not-Executed</t>
        </is>
      </c>
      <c r="D17" s="21" t="inlineStr"/>
    </row>
    <row r="18">
      <c r="A18" s="19" t="n">
        <v>17</v>
      </c>
      <c r="B18" s="20" t="inlineStr">
        <is>
          <t>Verify that the review step shows the run total against budget before approval.</t>
        </is>
      </c>
      <c r="C18" s="10" t="inlineStr">
        <is>
          <t>Not-Executed</t>
        </is>
      </c>
      <c r="D18" s="21" t="inlineStr"/>
    </row>
    <row r="19">
      <c r="A19" s="19" t="n">
        <v>18</v>
      </c>
      <c r="B19" s="20" t="inlineStr">
        <is>
          <t>Verify that approving a run publishes all payslips together and notifies staff.</t>
        </is>
      </c>
      <c r="C19" s="10" t="inlineStr">
        <is>
          <t>Not-Executed</t>
        </is>
      </c>
      <c r="D19" s="21" t="inlineStr"/>
    </row>
    <row r="20">
      <c r="A20" s="19" t="n">
        <v>19</v>
      </c>
      <c r="B20" s="20" t="inlineStr">
        <is>
          <t>Verify that a published payroll run cannot be edited afterwards.</t>
        </is>
      </c>
      <c r="C20" s="10" t="inlineStr">
        <is>
          <t>Not-Executed</t>
        </is>
      </c>
      <c r="D20" s="21" t="inlineStr"/>
    </row>
    <row r="21">
      <c r="A21" s="19" t="n">
        <v>20</v>
      </c>
      <c r="B21" s="20" t="inlineStr">
        <is>
          <t>Verify that a correction is recorded as a new adjustment rather than an edit.</t>
        </is>
      </c>
      <c r="C21" s="10" t="inlineStr">
        <is>
          <t>Not-Executed</t>
        </is>
      </c>
      <c r="D21" s="21" t="inlineStr"/>
    </row>
    <row r="22">
      <c r="A22" s="19" t="n">
        <v>21</v>
      </c>
      <c r="B22" s="20" t="inlineStr">
        <is>
          <t>Verify that prior payroll runs remain visible and immutable.</t>
        </is>
      </c>
      <c r="C22" s="10" t="inlineStr">
        <is>
          <t>Not-Executed</t>
        </is>
      </c>
      <c r="D22" s="21" t="inlineStr"/>
    </row>
    <row r="23">
      <c r="A23" s="19" t="n">
        <v>22</v>
      </c>
      <c r="B23" s="20" t="inlineStr">
        <is>
          <t>Verify that a teacher can view and download only their own payslip.</t>
        </is>
      </c>
      <c r="C23" s="10" t="inlineStr">
        <is>
          <t>Not-Executed</t>
        </is>
      </c>
      <c r="D23" s="21" t="inlineStr"/>
    </row>
    <row r="24">
      <c r="A24" s="19" t="n">
        <v>23</v>
      </c>
      <c r="B24" s="20" t="inlineStr">
        <is>
          <t>Verify that an appraisal cycle progresses through manager, principal and outcome stages.</t>
        </is>
      </c>
      <c r="C24" s="10" t="inlineStr">
        <is>
          <t>Not-Executed</t>
        </is>
      </c>
      <c r="D24" s="21" t="inlineStr"/>
    </row>
    <row r="25">
      <c r="A25" s="19" t="n">
        <v>24</v>
      </c>
      <c r="B25" s="20" t="inlineStr">
        <is>
          <t>Verify that terminated staff move to the Former Staff register with history retained.</t>
        </is>
      </c>
      <c r="C25" s="10" t="inlineStr">
        <is>
          <t>Not-Executed</t>
        </is>
      </c>
      <c r="D25" s="21" t="inlineStr"/>
    </row>
    <row r="26">
      <c r="A26" s="19" t="n">
        <v>25</v>
      </c>
      <c r="B26" s="20" t="inlineStr">
        <is>
          <t>Verify that a substitute assignment is visible on the affected class.</t>
        </is>
      </c>
      <c r="C26" s="10" t="inlineStr">
        <is>
          <t>Not-Executed</t>
        </is>
      </c>
      <c r="D26" s="21" t="inlineStr"/>
    </row>
  </sheetData>
  <mergeCells count="1">
    <mergeCell ref="F1:J1"/>
  </mergeCells>
  <conditionalFormatting sqref="C2:C26">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26" showDropDown="0" showInputMessage="0" showErrorMessage="0" allowBlank="1" type="list">
      <formula1>"Not-Executed,Passed,Failed,Blocker,N/A"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0"/>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M08 Communications</t>
        </is>
      </c>
    </row>
    <row r="2">
      <c r="A2" s="19" t="n">
        <v>1</v>
      </c>
      <c r="B2" s="20" t="inlineStr">
        <is>
          <t>Verify that an announcement can be sent to a targeted audience.</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only the targeted role receives and can see the announcement.</t>
        </is>
      </c>
      <c r="C3" s="10" t="inlineStr">
        <is>
          <t>Not-Executed</t>
        </is>
      </c>
      <c r="D3" s="21" t="inlineStr"/>
      <c r="F3" s="10">
        <f>COUNTA(B2:B20)</f>
        <v/>
      </c>
      <c r="G3" s="10">
        <f>COUNTIF(C2:C20,"Passed")</f>
        <v/>
      </c>
      <c r="H3" s="10">
        <f>COUNTIF(C2:C20,"Failed")</f>
        <v/>
      </c>
      <c r="I3" s="10">
        <f>COUNTIF(C2:C20,"Blocker")</f>
        <v/>
      </c>
      <c r="J3" s="10">
        <f>COUNTIF(C2:C20,"Not-Executed")</f>
        <v/>
      </c>
    </row>
    <row r="4">
      <c r="A4" s="19" t="n">
        <v>3</v>
      </c>
      <c r="B4" s="20" t="inlineStr">
        <is>
          <t>Verify that a notice can be posted to the notice board and appears newest first.</t>
        </is>
      </c>
      <c r="C4" s="10" t="inlineStr">
        <is>
          <t>Not-Executed</t>
        </is>
      </c>
      <c r="D4" s="21" t="inlineStr"/>
    </row>
    <row r="5">
      <c r="A5" s="19" t="n">
        <v>4</v>
      </c>
      <c r="B5" s="20" t="inlineStr">
        <is>
          <t>Verify that a consent form can be created with a title, deadline and audience.</t>
        </is>
      </c>
      <c r="C5" s="10" t="inlineStr">
        <is>
          <t>Not-Executed</t>
        </is>
      </c>
      <c r="D5" s="21" t="inlineStr"/>
    </row>
    <row r="6">
      <c r="A6" s="19" t="n">
        <v>5</v>
      </c>
      <c r="B6" s="20" t="inlineStr">
        <is>
          <t>Verify that parents are notified when a consent form is published.</t>
        </is>
      </c>
      <c r="C6" s="10" t="inlineStr">
        <is>
          <t>Not-Executed</t>
        </is>
      </c>
      <c r="D6" s="21" t="inlineStr"/>
    </row>
    <row r="7">
      <c r="A7" s="19" t="n">
        <v>6</v>
      </c>
      <c r="B7" s="20" t="inlineStr">
        <is>
          <t>Verify that a parent can agree or decline with an optional reason.</t>
        </is>
      </c>
      <c r="C7" s="10" t="inlineStr">
        <is>
          <t>Not-Executed</t>
        </is>
      </c>
      <c r="D7" s="21" t="inlineStr"/>
    </row>
    <row r="8">
      <c r="A8" s="19" t="n">
        <v>7</v>
      </c>
      <c r="B8" s="20" t="inlineStr">
        <is>
          <t>Verify that a parent cannot submit a consent response twice.</t>
        </is>
      </c>
      <c r="C8" s="10" t="inlineStr">
        <is>
          <t>Not-Executed</t>
        </is>
      </c>
      <c r="D8" s="21" t="inlineStr"/>
    </row>
    <row r="9">
      <c r="A9" s="19" t="n">
        <v>8</v>
      </c>
      <c r="B9" s="20" t="inlineStr">
        <is>
          <t>Verify that the admin response tally updates without a page refresh.</t>
        </is>
      </c>
      <c r="C9" s="10" t="inlineStr">
        <is>
          <t>Not-Executed</t>
        </is>
      </c>
      <c r="D9" s="21" t="inlineStr"/>
    </row>
    <row r="10">
      <c r="A10" s="19" t="n">
        <v>9</v>
      </c>
      <c r="B10" s="20" t="inlineStr">
        <is>
          <t>Verify that a consent form auto-closes after its deadline and rejects late responses.</t>
        </is>
      </c>
      <c r="C10" s="10" t="inlineStr">
        <is>
          <t>Not-Executed</t>
        </is>
      </c>
      <c r="D10" s="21" t="inlineStr"/>
    </row>
    <row r="11">
      <c r="A11" s="19" t="n">
        <v>10</v>
      </c>
      <c r="B11" s="20" t="inlineStr">
        <is>
          <t>Verify that deadline enforcement holds even if the client device clock is changed.</t>
        </is>
      </c>
      <c r="C11" s="10" t="inlineStr">
        <is>
          <t>Not-Executed</t>
        </is>
      </c>
      <c r="D11" s="21" t="inlineStr"/>
    </row>
    <row r="12">
      <c r="A12" s="19" t="n">
        <v>11</v>
      </c>
      <c r="B12" s="20" t="inlineStr">
        <is>
          <t>Verify that a survey can be created and its results aggregated.</t>
        </is>
      </c>
      <c r="C12" s="10" t="inlineStr">
        <is>
          <t>Not-Executed</t>
        </is>
      </c>
      <c r="D12" s="21" t="inlineStr"/>
    </row>
    <row r="13">
      <c r="A13" s="19" t="n">
        <v>12</v>
      </c>
      <c r="B13" s="20" t="inlineStr">
        <is>
          <t>Verify that survey results can be exported.</t>
        </is>
      </c>
      <c r="C13" s="10" t="inlineStr">
        <is>
          <t>Not-Executed</t>
        </is>
      </c>
      <c r="D13" s="21" t="inlineStr"/>
    </row>
    <row r="14">
      <c r="A14" s="19" t="n">
        <v>13</v>
      </c>
      <c r="B14" s="20" t="inlineStr">
        <is>
          <t>Verify that a teacher can write a diary note the linked parent can read.</t>
        </is>
      </c>
      <c r="C14" s="10" t="inlineStr">
        <is>
          <t>Not-Executed</t>
        </is>
      </c>
      <c r="D14" s="21" t="inlineStr"/>
    </row>
    <row r="15">
      <c r="A15" s="19" t="n">
        <v>14</v>
      </c>
      <c r="B15" s="20" t="inlineStr">
        <is>
          <t>Verify that a parent can reply to a diary note and the thread stays ordered.</t>
        </is>
      </c>
      <c r="C15" s="10" t="inlineStr">
        <is>
          <t>Not-Executed</t>
        </is>
      </c>
      <c r="D15" s="21" t="inlineStr"/>
    </row>
    <row r="16">
      <c r="A16" s="19" t="n">
        <v>15</v>
      </c>
      <c r="B16" s="20" t="inlineStr">
        <is>
          <t>Verify that a diary note is marked read when the parent opens it.</t>
        </is>
      </c>
      <c r="C16" s="10" t="inlineStr">
        <is>
          <t>Not-Executed</t>
        </is>
      </c>
      <c r="D16" s="21" t="inlineStr"/>
    </row>
    <row r="17">
      <c r="A17" s="19" t="n">
        <v>16</v>
      </c>
      <c r="B17" s="20" t="inlineStr">
        <is>
          <t>Verify that admin oversight shows all teacher-parent threads read-only.</t>
        </is>
      </c>
      <c r="C17" s="10" t="inlineStr">
        <is>
          <t>Not-Executed</t>
        </is>
      </c>
      <c r="D17" s="21" t="inlineStr"/>
    </row>
    <row r="18">
      <c r="A18" s="19" t="n">
        <v>17</v>
      </c>
      <c r="B18" s="20" t="inlineStr">
        <is>
          <t>Verify that oversight never injects the admin into a conversation.</t>
        </is>
      </c>
      <c r="C18" s="10" t="inlineStr">
        <is>
          <t>Not-Executed</t>
        </is>
      </c>
      <c r="D18" s="21" t="inlineStr"/>
    </row>
    <row r="19">
      <c r="A19" s="19" t="n">
        <v>18</v>
      </c>
      <c r="B19" s="20" t="inlineStr">
        <is>
          <t>Verify that an email campaign reports the recipient count before sending.</t>
        </is>
      </c>
      <c r="C19" s="10" t="inlineStr">
        <is>
          <t>Not-Executed</t>
        </is>
      </c>
      <c r="D19" s="21" t="inlineStr"/>
    </row>
    <row r="20">
      <c r="A20" s="19" t="n">
        <v>19</v>
      </c>
      <c r="B20" s="20" t="inlineStr">
        <is>
          <t>Verify that outbound sends respect the school's channel configuration.</t>
        </is>
      </c>
      <c r="C20" s="10" t="inlineStr">
        <is>
          <t>Not-Executed</t>
        </is>
      </c>
      <c r="D20" s="21" t="inlineStr"/>
    </row>
  </sheetData>
  <mergeCells count="1">
    <mergeCell ref="F1:J1"/>
  </mergeCells>
  <conditionalFormatting sqref="C2:C20">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20" showDropDown="0" showInputMessage="0" showErrorMessage="0" allowBlank="1" type="list">
      <formula1>"Not-Executed,Passed,Failed,Blocker,N/A"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M09 Calendar &amp; Notice Board</t>
        </is>
      </c>
    </row>
    <row r="2">
      <c r="A2" s="19" t="n">
        <v>1</v>
      </c>
      <c r="B2" s="20" t="inlineStr">
        <is>
          <t>Verify that an admin can add a dated event with a title, type and audience.</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the event appears only on the targeted audience's calendar.</t>
        </is>
      </c>
      <c r="C3" s="10" t="inlineStr">
        <is>
          <t>Not-Executed</t>
        </is>
      </c>
      <c r="D3" s="21" t="inlineStr"/>
      <c r="F3" s="10">
        <f>COUNTA(B2:B15)</f>
        <v/>
      </c>
      <c r="G3" s="10">
        <f>COUNTIF(C2:C15,"Passed")</f>
        <v/>
      </c>
      <c r="H3" s="10">
        <f>COUNTIF(C2:C15,"Failed")</f>
        <v/>
      </c>
      <c r="I3" s="10">
        <f>COUNTIF(C2:C15,"Blocker")</f>
        <v/>
      </c>
      <c r="J3" s="10">
        <f>COUNTIF(C2:C15,"Not-Executed")</f>
        <v/>
      </c>
    </row>
    <row r="4">
      <c r="A4" s="19" t="n">
        <v>3</v>
      </c>
      <c r="B4" s="20" t="inlineStr">
        <is>
          <t>Verify that a multi-day event is shown across every affected day.</t>
        </is>
      </c>
      <c r="C4" s="10" t="inlineStr">
        <is>
          <t>Not-Executed</t>
        </is>
      </c>
      <c r="D4" s="21" t="inlineStr"/>
    </row>
    <row r="5">
      <c r="A5" s="19" t="n">
        <v>4</v>
      </c>
      <c r="B5" s="20" t="inlineStr">
        <is>
          <t>Verify that a teacher or parent sees the calendar as view-only.</t>
        </is>
      </c>
      <c r="C5" s="10" t="inlineStr">
        <is>
          <t>Not-Executed</t>
        </is>
      </c>
      <c r="D5" s="21" t="inlineStr"/>
    </row>
    <row r="6">
      <c r="A6" s="19" t="n">
        <v>5</v>
      </c>
      <c r="B6" s="20" t="inlineStr">
        <is>
          <t>Verify that create, edit and delete are gated to admin and principal.</t>
        </is>
      </c>
      <c r="C6" s="10" t="inlineStr">
        <is>
          <t>Not-Executed</t>
        </is>
      </c>
      <c r="D6" s="21" t="inlineStr"/>
    </row>
    <row r="7">
      <c r="A7" s="19" t="n">
        <v>6</v>
      </c>
      <c r="B7" s="20" t="inlineStr">
        <is>
          <t>Verify that a day with no events shows a No events state.</t>
        </is>
      </c>
      <c r="C7" s="10" t="inlineStr">
        <is>
          <t>Not-Executed</t>
        </is>
      </c>
      <c r="D7" s="21" t="inlineStr"/>
    </row>
    <row r="8">
      <c r="A8" s="19" t="n">
        <v>7</v>
      </c>
      <c r="B8" s="20" t="inlineStr">
        <is>
          <t>Verify that an event can be edited and the change reflects for all audiences.</t>
        </is>
      </c>
      <c r="C8" s="10" t="inlineStr">
        <is>
          <t>Not-Executed</t>
        </is>
      </c>
      <c r="D8" s="21" t="inlineStr"/>
    </row>
    <row r="9">
      <c r="A9" s="19" t="n">
        <v>8</v>
      </c>
      <c r="B9" s="20" t="inlineStr">
        <is>
          <t>Verify that a deleted event disappears from every calendar view.</t>
        </is>
      </c>
      <c r="C9" s="10" t="inlineStr">
        <is>
          <t>Not-Executed</t>
        </is>
      </c>
      <c r="D9" s="21" t="inlineStr"/>
    </row>
    <row r="10">
      <c r="A10" s="19" t="n">
        <v>9</v>
      </c>
      <c r="B10" s="20" t="inlineStr">
        <is>
          <t>Verify that the calendar reads its term dates from School Settings only.</t>
        </is>
      </c>
      <c r="C10" s="10" t="inlineStr">
        <is>
          <t>Not-Executed</t>
        </is>
      </c>
      <c r="D10" s="21" t="inlineStr"/>
    </row>
    <row r="11">
      <c r="A11" s="19" t="n">
        <v>10</v>
      </c>
      <c r="B11" s="20" t="inlineStr">
        <is>
          <t>Verify that an unconfigured calendar prompts the admin to configure term dates.</t>
        </is>
      </c>
      <c r="C11" s="10" t="inlineStr">
        <is>
          <t>Not-Executed</t>
        </is>
      </c>
      <c r="D11" s="21" t="inlineStr"/>
    </row>
    <row r="12">
      <c r="A12" s="19" t="n">
        <v>11</v>
      </c>
      <c r="B12" s="20" t="inlineStr">
        <is>
          <t>Verify that a non-admin sees an explanatory message rather than a configure button.</t>
        </is>
      </c>
      <c r="C12" s="10" t="inlineStr">
        <is>
          <t>Not-Executed</t>
        </is>
      </c>
      <c r="D12" s="21" t="inlineStr"/>
    </row>
    <row r="13">
      <c r="A13" s="19" t="n">
        <v>12</v>
      </c>
      <c r="B13" s="20" t="inlineStr">
        <is>
          <t>Verify that notices are pinned and ordered newest first.</t>
        </is>
      </c>
      <c r="C13" s="10" t="inlineStr">
        <is>
          <t>Not-Executed</t>
        </is>
      </c>
      <c r="D13" s="21" t="inlineStr"/>
    </row>
    <row r="14">
      <c r="A14" s="19" t="n">
        <v>13</v>
      </c>
      <c r="B14" s="20" t="inlineStr">
        <is>
          <t>Verify that a notice audience filter hides it from non-targeted roles.</t>
        </is>
      </c>
      <c r="C14" s="10" t="inlineStr">
        <is>
          <t>Not-Executed</t>
        </is>
      </c>
      <c r="D14" s="21" t="inlineStr"/>
    </row>
    <row r="15">
      <c r="A15" s="19" t="n">
        <v>14</v>
      </c>
      <c r="B15" s="20" t="inlineStr">
        <is>
          <t>Verify that calendar events are scoped to the active branch.</t>
        </is>
      </c>
      <c r="C15" s="10" t="inlineStr">
        <is>
          <t>Not-Executed</t>
        </is>
      </c>
      <c r="D15" s="21" t="inlineStr"/>
    </row>
  </sheetData>
  <mergeCells count="1">
    <mergeCell ref="F1:J1"/>
  </mergeCells>
  <conditionalFormatting sqref="C2:C15">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5" showDropDown="0" showInputMessage="0" showErrorMessage="0" allowBlank="1" type="list">
      <formula1>"Not-Executed,Passed,Failed,Blocker,N/A"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M10 House Points</t>
        </is>
      </c>
    </row>
    <row r="2">
      <c r="A2" s="19" t="n">
        <v>1</v>
      </c>
      <c r="B2" s="20" t="inlineStr">
        <is>
          <t>Verify that a teacher can award points to a student with a reason.</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a teacher can deduct points with a reason.</t>
        </is>
      </c>
      <c r="C3" s="10" t="inlineStr">
        <is>
          <t>Not-Executed</t>
        </is>
      </c>
      <c r="D3" s="21" t="inlineStr"/>
      <c r="F3" s="10">
        <f>COUNTA(B2:B15)</f>
        <v/>
      </c>
      <c r="G3" s="10">
        <f>COUNTIF(C2:C15,"Passed")</f>
        <v/>
      </c>
      <c r="H3" s="10">
        <f>COUNTIF(C2:C15,"Failed")</f>
        <v/>
      </c>
      <c r="I3" s="10">
        <f>COUNTIF(C2:C15,"Blocker")</f>
        <v/>
      </c>
      <c r="J3" s="10">
        <f>COUNTIF(C2:C15,"Not-Executed")</f>
        <v/>
      </c>
    </row>
    <row r="4">
      <c r="A4" s="19" t="n">
        <v>3</v>
      </c>
      <c r="B4" s="20" t="inlineStr">
        <is>
          <t>Verify that awarding without a reason is rejected.</t>
        </is>
      </c>
      <c r="C4" s="10" t="inlineStr">
        <is>
          <t>Not-Executed</t>
        </is>
      </c>
      <c r="D4" s="21" t="inlineStr"/>
    </row>
    <row r="5">
      <c r="A5" s="19" t="n">
        <v>4</v>
      </c>
      <c r="B5" s="20" t="inlineStr">
        <is>
          <t>Verify that the house total updates immediately on save.</t>
        </is>
      </c>
      <c r="C5" s="10" t="inlineStr">
        <is>
          <t>Not-Executed</t>
        </is>
      </c>
      <c r="D5" s="21" t="inlineStr"/>
    </row>
    <row r="6">
      <c r="A6" s="19" t="n">
        <v>5</v>
      </c>
      <c r="B6" s="20" t="inlineStr">
        <is>
          <t>Verify that the student and their parent are notified of an award.</t>
        </is>
      </c>
      <c r="C6" s="10" t="inlineStr">
        <is>
          <t>Not-Executed</t>
        </is>
      </c>
      <c r="D6" s="21" t="inlineStr"/>
    </row>
    <row r="7">
      <c r="A7" s="19" t="n">
        <v>6</v>
      </c>
      <c r="B7" s="20" t="inlineStr">
        <is>
          <t>Verify that an inter-house competition result can be recorded by position.</t>
        </is>
      </c>
      <c r="C7" s="10" t="inlineStr">
        <is>
          <t>Not-Executed</t>
        </is>
      </c>
      <c r="D7" s="21" t="inlineStr"/>
    </row>
    <row r="8">
      <c r="A8" s="19" t="n">
        <v>7</v>
      </c>
      <c r="B8" s="20" t="inlineStr">
        <is>
          <t>Verify that competition points award 1st=50, 2nd=35, 3rd=20 and 4th=10.</t>
        </is>
      </c>
      <c r="C8" s="10" t="inlineStr">
        <is>
          <t>Not-Executed</t>
        </is>
      </c>
      <c r="D8" s="21" t="inlineStr"/>
    </row>
    <row r="9">
      <c r="A9" s="19" t="n">
        <v>8</v>
      </c>
      <c r="B9" s="20" t="inlineStr">
        <is>
          <t>Verify that the leaderboard sorts houses by combined merit and competition totals.</t>
        </is>
      </c>
      <c r="C9" s="10" t="inlineStr">
        <is>
          <t>Not-Executed</t>
        </is>
      </c>
      <c r="D9" s="21" t="inlineStr"/>
    </row>
    <row r="10">
      <c r="A10" s="19" t="n">
        <v>9</v>
      </c>
      <c r="B10" s="20" t="inlineStr">
        <is>
          <t>Verify that the leaderboard shows the merit and competition breakdown separately.</t>
        </is>
      </c>
      <c r="C10" s="10" t="inlineStr">
        <is>
          <t>Not-Executed</t>
        </is>
      </c>
      <c r="D10" s="21" t="inlineStr"/>
    </row>
    <row r="11">
      <c r="A11" s="19" t="n">
        <v>10</v>
      </c>
      <c r="B11" s="20" t="inlineStr">
        <is>
          <t>Verify that per-student point history is viewable and attributable to its author.</t>
        </is>
      </c>
      <c r="C11" s="10" t="inlineStr">
        <is>
          <t>Not-Executed</t>
        </is>
      </c>
      <c r="D11" s="21" t="inlineStr"/>
    </row>
    <row r="12">
      <c r="A12" s="19" t="n">
        <v>11</v>
      </c>
      <c r="B12" s="20" t="inlineStr">
        <is>
          <t>Verify that a student sees their own house standing.</t>
        </is>
      </c>
      <c r="C12" s="10" t="inlineStr">
        <is>
          <t>Not-Executed</t>
        </is>
      </c>
      <c r="D12" s="21" t="inlineStr"/>
    </row>
    <row r="13">
      <c r="A13" s="19" t="n">
        <v>12</v>
      </c>
      <c r="B13" s="20" t="inlineStr">
        <is>
          <t>Verify that a parent sees their child's house standing.</t>
        </is>
      </c>
      <c r="C13" s="10" t="inlineStr">
        <is>
          <t>Not-Executed</t>
        </is>
      </c>
      <c r="D13" s="21" t="inlineStr"/>
    </row>
    <row r="14">
      <c r="A14" s="19" t="n">
        <v>13</v>
      </c>
      <c r="B14" s="20" t="inlineStr">
        <is>
          <t>Verify that a merit recorded in Behaviour can feed house points.</t>
        </is>
      </c>
      <c r="C14" s="10" t="inlineStr">
        <is>
          <t>Not-Executed</t>
        </is>
      </c>
      <c r="D14" s="21" t="inlineStr"/>
    </row>
    <row r="15">
      <c r="A15" s="19" t="n">
        <v>14</v>
      </c>
      <c r="B15" s="20" t="inlineStr">
        <is>
          <t>Verify that house points are scoped to the active branch.</t>
        </is>
      </c>
      <c r="C15" s="10" t="inlineStr">
        <is>
          <t>Not-Executed</t>
        </is>
      </c>
      <c r="D15" s="21" t="inlineStr"/>
    </row>
  </sheetData>
  <mergeCells count="1">
    <mergeCell ref="F1:J1"/>
  </mergeCells>
  <conditionalFormatting sqref="C2:C15">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5" showDropDown="0" showInputMessage="0" showErrorMessage="0" allowBlank="1" type="list">
      <formula1>"Not-Executed,Passed,Failed,Blocker,N/A"</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7"/>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M11 Transport &amp; Pickup</t>
        </is>
      </c>
    </row>
    <row r="2">
      <c r="A2" s="19" t="n">
        <v>1</v>
      </c>
      <c r="B2" s="20" t="inlineStr">
        <is>
          <t>Verify that a bus route can be created with a driver and vehicle.</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students can be assigned to a route.</t>
        </is>
      </c>
      <c r="C3" s="10" t="inlineStr">
        <is>
          <t>Not-Executed</t>
        </is>
      </c>
      <c r="D3" s="21" t="inlineStr"/>
      <c r="F3" s="10">
        <f>COUNTA(B2:B17)</f>
        <v/>
      </c>
      <c r="G3" s="10">
        <f>COUNTIF(C2:C17,"Passed")</f>
        <v/>
      </c>
      <c r="H3" s="10">
        <f>COUNTIF(C2:C17,"Failed")</f>
        <v/>
      </c>
      <c r="I3" s="10">
        <f>COUNTIF(C2:C17,"Blocker")</f>
        <v/>
      </c>
      <c r="J3" s="10">
        <f>COUNTIF(C2:C17,"Not-Executed")</f>
        <v/>
      </c>
    </row>
    <row r="4">
      <c r="A4" s="19" t="n">
        <v>3</v>
      </c>
      <c r="B4" s="20" t="inlineStr">
        <is>
          <t>Verify that each route is managed independently of the others.</t>
        </is>
      </c>
      <c r="C4" s="10" t="inlineStr">
        <is>
          <t>Not-Executed</t>
        </is>
      </c>
      <c r="D4" s="21" t="inlineStr"/>
    </row>
    <row r="5">
      <c r="A5" s="19" t="n">
        <v>4</v>
      </c>
      <c r="B5" s="20" t="inlineStr">
        <is>
          <t>Verify that the transport officer can set bus status to Departed.</t>
        </is>
      </c>
      <c r="C5" s="10" t="inlineStr">
        <is>
          <t>Not-Executed</t>
        </is>
      </c>
      <c r="D5" s="21" t="inlineStr"/>
    </row>
    <row r="6">
      <c r="A6" s="19" t="n">
        <v>5</v>
      </c>
      <c r="B6" s="20" t="inlineStr">
        <is>
          <t>Verify that setting Delayed accepts an explanatory note.</t>
        </is>
      </c>
      <c r="C6" s="10" t="inlineStr">
        <is>
          <t>Not-Executed</t>
        </is>
      </c>
      <c r="D6" s="21" t="inlineStr"/>
    </row>
    <row r="7">
      <c r="A7" s="19" t="n">
        <v>6</v>
      </c>
      <c r="B7" s="20" t="inlineStr">
        <is>
          <t>Verify that setting Arrived notifies parents on that route within seconds.</t>
        </is>
      </c>
      <c r="C7" s="10" t="inlineStr">
        <is>
          <t>Not-Executed</t>
        </is>
      </c>
      <c r="D7" s="21" t="inlineStr"/>
    </row>
    <row r="8">
      <c r="A8" s="19" t="n">
        <v>7</v>
      </c>
      <c r="B8" s="20" t="inlineStr">
        <is>
          <t>Verify that only parents of students on that route are notified.</t>
        </is>
      </c>
      <c r="C8" s="10" t="inlineStr">
        <is>
          <t>Not-Executed</t>
        </is>
      </c>
      <c r="D8" s="21" t="inlineStr"/>
    </row>
    <row r="9">
      <c r="A9" s="19" t="n">
        <v>8</v>
      </c>
      <c r="B9" s="20" t="inlineStr">
        <is>
          <t>Verify that a colour-coded status pill shows on the parent's transport card.</t>
        </is>
      </c>
      <c r="C9" s="10" t="inlineStr">
        <is>
          <t>Not-Executed</t>
        </is>
      </c>
      <c r="D9" s="21" t="inlineStr"/>
    </row>
    <row r="10">
      <c r="A10" s="19" t="n">
        <v>9</v>
      </c>
      <c r="B10" s="20" t="inlineStr">
        <is>
          <t>Verify that the status pill is distinguishable without relying on colour alone.</t>
        </is>
      </c>
      <c r="C10" s="10" t="inlineStr">
        <is>
          <t>Not-Executed</t>
        </is>
      </c>
      <c r="D10" s="21" t="inlineStr"/>
    </row>
    <row r="11">
      <c r="A11" s="19" t="n">
        <v>10</v>
      </c>
      <c r="B11" s="20" t="inlineStr">
        <is>
          <t>Verify that a parent can add an authorised pickup person for approval.</t>
        </is>
      </c>
      <c r="C11" s="10" t="inlineStr">
        <is>
          <t>Not-Executed</t>
        </is>
      </c>
      <c r="D11" s="21" t="inlineStr"/>
    </row>
    <row r="12">
      <c r="A12" s="19" t="n">
        <v>11</v>
      </c>
      <c r="B12" s="20" t="inlineStr">
        <is>
          <t>Verify that an admin can approve or deny an authorised pickup person.</t>
        </is>
      </c>
      <c r="C12" s="10" t="inlineStr">
        <is>
          <t>Not-Executed</t>
        </is>
      </c>
      <c r="D12" s="21" t="inlineStr"/>
    </row>
    <row r="13">
      <c r="A13" s="19" t="n">
        <v>12</v>
      </c>
      <c r="B13" s="20" t="inlineStr">
        <is>
          <t>Verify that an approved pickup person appears in the child's pickup list.</t>
        </is>
      </c>
      <c r="C13" s="10" t="inlineStr">
        <is>
          <t>Not-Executed</t>
        </is>
      </c>
      <c r="D13" s="21" t="inlineStr"/>
    </row>
    <row r="14">
      <c r="A14" s="19" t="n">
        <v>13</v>
      </c>
      <c r="B14" s="20" t="inlineStr">
        <is>
          <t>Verify that a revoked pickup person is removed immediately.</t>
        </is>
      </c>
      <c r="C14" s="10" t="inlineStr">
        <is>
          <t>Not-Executed</t>
        </is>
      </c>
      <c r="D14" s="21" t="inlineStr"/>
    </row>
    <row r="15">
      <c r="A15" s="19" t="n">
        <v>14</v>
      </c>
      <c r="B15" s="20" t="inlineStr">
        <is>
          <t>Verify that the gate check reflects the current approved pickup list.</t>
        </is>
      </c>
      <c r="C15" s="10" t="inlineStr">
        <is>
          <t>Not-Executed</t>
        </is>
      </c>
      <c r="D15" s="21" t="inlineStr"/>
    </row>
    <row r="16">
      <c r="A16" s="19" t="n">
        <v>15</v>
      </c>
      <c r="B16" s="20" t="inlineStr">
        <is>
          <t>Verify that Transport is hidden when the transport entitlement is off.</t>
        </is>
      </c>
      <c r="C16" s="10" t="inlineStr">
        <is>
          <t>Not-Executed</t>
        </is>
      </c>
      <c r="D16" s="21" t="inlineStr"/>
    </row>
    <row r="17">
      <c r="A17" s="19" t="n">
        <v>16</v>
      </c>
      <c r="B17" s="20" t="inlineStr">
        <is>
          <t>Verify that a deep link to Transport shows a locked screen when unentitled.</t>
        </is>
      </c>
      <c r="C17" s="10" t="inlineStr">
        <is>
          <t>Not-Executed</t>
        </is>
      </c>
      <c r="D17" s="21" t="inlineStr"/>
    </row>
  </sheetData>
  <mergeCells count="1">
    <mergeCell ref="F1:J1"/>
  </mergeCells>
  <conditionalFormatting sqref="C2:C17">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7" showDropDown="0" showInputMessage="0" showErrorMessage="0" allowBlank="1" type="list">
      <formula1>"Not-Executed,Passed,Failed,Blocker,N/A"</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M12 Health &amp; Sickbay</t>
        </is>
      </c>
    </row>
    <row r="2">
      <c r="A2" s="19" t="n">
        <v>1</v>
      </c>
      <c r="B2" s="20" t="inlineStr">
        <is>
          <t>Verify that a sickbay visit can be logged with complaint, treatment and outcome.</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each visit is stamped with the date and time.</t>
        </is>
      </c>
      <c r="C3" s="10" t="inlineStr">
        <is>
          <t>Not-Executed</t>
        </is>
      </c>
      <c r="D3" s="21" t="inlineStr"/>
      <c r="F3" s="10">
        <f>COUNTA(B2:B13)</f>
        <v/>
      </c>
      <c r="G3" s="10">
        <f>COUNTIF(C2:C13,"Passed")</f>
        <v/>
      </c>
      <c r="H3" s="10">
        <f>COUNTIF(C2:C13,"Failed")</f>
        <v/>
      </c>
      <c r="I3" s="10">
        <f>COUNTIF(C2:C13,"Blocker")</f>
        <v/>
      </c>
      <c r="J3" s="10">
        <f>COUNTIF(C2:C13,"Not-Executed")</f>
        <v/>
      </c>
    </row>
    <row r="4">
      <c r="A4" s="19" t="n">
        <v>3</v>
      </c>
      <c r="B4" s="20" t="inlineStr">
        <is>
          <t>Verify that an outcome of Sent Home forces a parent notification.</t>
        </is>
      </c>
      <c r="C4" s="10" t="inlineStr">
        <is>
          <t>Not-Executed</t>
        </is>
      </c>
      <c r="D4" s="21" t="inlineStr"/>
    </row>
    <row r="5">
      <c r="A5" s="19" t="n">
        <v>4</v>
      </c>
      <c r="B5" s="20" t="inlineStr">
        <is>
          <t>Verify that an outcome of Referred forces a parent notification.</t>
        </is>
      </c>
      <c r="C5" s="10" t="inlineStr">
        <is>
          <t>Not-Executed</t>
        </is>
      </c>
      <c r="D5" s="21" t="inlineStr"/>
    </row>
    <row r="6">
      <c r="A6" s="19" t="n">
        <v>5</v>
      </c>
      <c r="B6" s="20" t="inlineStr">
        <is>
          <t>Verify that a forced notification fires even when the notify checkbox is unchecked.</t>
        </is>
      </c>
      <c r="C6" s="10" t="inlineStr">
        <is>
          <t>Not-Executed</t>
        </is>
      </c>
      <c r="D6" s="21" t="inlineStr"/>
    </row>
    <row r="7">
      <c r="A7" s="19" t="n">
        <v>6</v>
      </c>
      <c r="B7" s="20" t="inlineStr">
        <is>
          <t>Verify that a mandatory-notification visit cannot be saved if the notification does not fire.</t>
        </is>
      </c>
      <c r="C7" s="10" t="inlineStr">
        <is>
          <t>Not-Executed</t>
        </is>
      </c>
      <c r="D7" s="21" t="inlineStr"/>
    </row>
    <row r="8">
      <c r="A8" s="19" t="n">
        <v>7</v>
      </c>
      <c r="B8" s="20" t="inlineStr">
        <is>
          <t>Verify that a routine outcome does not force a parent notification.</t>
        </is>
      </c>
      <c r="C8" s="10" t="inlineStr">
        <is>
          <t>Not-Executed</t>
        </is>
      </c>
      <c r="D8" s="21" t="inlineStr"/>
    </row>
    <row r="9">
      <c r="A9" s="19" t="n">
        <v>8</v>
      </c>
      <c r="B9" s="20" t="inlineStr">
        <is>
          <t>Verify that a parent sees their own child's visit history newest first.</t>
        </is>
      </c>
      <c r="C9" s="10" t="inlineStr">
        <is>
          <t>Not-Executed</t>
        </is>
      </c>
      <c r="D9" s="21" t="inlineStr"/>
    </row>
    <row r="10">
      <c r="A10" s="19" t="n">
        <v>9</v>
      </c>
      <c r="B10" s="20" t="inlineStr">
        <is>
          <t>Verify that a parent cannot see another child's health records.</t>
        </is>
      </c>
      <c r="C10" s="10" t="inlineStr">
        <is>
          <t>Not-Executed</t>
        </is>
      </c>
      <c r="D10" s="21" t="inlineStr"/>
    </row>
    <row r="11">
      <c r="A11" s="19" t="n">
        <v>10</v>
      </c>
      <c r="B11" s="20" t="inlineStr">
        <is>
          <t>Verify that health staff can view the full sickbay log for the school.</t>
        </is>
      </c>
      <c r="C11" s="10" t="inlineStr">
        <is>
          <t>Not-Executed</t>
        </is>
      </c>
      <c r="D11" s="21" t="inlineStr"/>
    </row>
    <row r="12">
      <c r="A12" s="19" t="n">
        <v>11</v>
      </c>
      <c r="B12" s="20" t="inlineStr">
        <is>
          <t>Verify that health records are scoped to the active branch.</t>
        </is>
      </c>
      <c r="C12" s="10" t="inlineStr">
        <is>
          <t>Not-Executed</t>
        </is>
      </c>
      <c r="D12" s="21" t="inlineStr"/>
    </row>
    <row r="13">
      <c r="A13" s="19" t="n">
        <v>12</v>
      </c>
      <c r="B13" s="20" t="inlineStr">
        <is>
          <t>Verify that the sickbay log shows an empty state when no visits exist.</t>
        </is>
      </c>
      <c r="C13" s="10" t="inlineStr">
        <is>
          <t>Not-Executed</t>
        </is>
      </c>
      <c r="D13" s="21" t="inlineStr"/>
    </row>
  </sheetData>
  <mergeCells count="1">
    <mergeCell ref="F1:J1"/>
  </mergeCells>
  <conditionalFormatting sqref="C2:C13">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3" showDropDown="0" showInputMessage="0" showErrorMessage="0" allowBlank="1" type="list">
      <formula1>"Not-Executed,Passed,Failed,Blocker,N/A"</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2"/>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M13 Alumni</t>
        </is>
      </c>
    </row>
    <row r="2">
      <c r="A2" s="19" t="n">
        <v>1</v>
      </c>
      <c r="B2" s="20" t="inlineStr">
        <is>
          <t>Verify that a single student can be graduated with year, final class, exam and awards.</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a whole class can be graduated in one bulk action.</t>
        </is>
      </c>
      <c r="C3" s="10" t="inlineStr">
        <is>
          <t>Not-Executed</t>
        </is>
      </c>
      <c r="D3" s="21" t="inlineStr"/>
      <c r="F3" s="10">
        <f>COUNTA(B2:B12)</f>
        <v/>
      </c>
      <c r="G3" s="10">
        <f>COUNTIF(C2:C12,"Passed")</f>
        <v/>
      </c>
      <c r="H3" s="10">
        <f>COUNTIF(C2:C12,"Failed")</f>
        <v/>
      </c>
      <c r="I3" s="10">
        <f>COUNTIF(C2:C12,"Blocker")</f>
        <v/>
      </c>
      <c r="J3" s="10">
        <f>COUNTIF(C2:C12,"Not-Executed")</f>
        <v/>
      </c>
    </row>
    <row r="4">
      <c r="A4" s="19" t="n">
        <v>3</v>
      </c>
      <c r="B4" s="20" t="inlineStr">
        <is>
          <t>Verify that graduated students are removed from active attendance, results and fees.</t>
        </is>
      </c>
      <c r="C4" s="10" t="inlineStr">
        <is>
          <t>Not-Executed</t>
        </is>
      </c>
      <c r="D4" s="21" t="inlineStr"/>
    </row>
    <row r="5">
      <c r="A5" s="19" t="n">
        <v>4</v>
      </c>
      <c r="B5" s="20" t="inlineStr">
        <is>
          <t>Verify that a graduated student's full history is preserved.</t>
        </is>
      </c>
      <c r="C5" s="10" t="inlineStr">
        <is>
          <t>Not-Executed</t>
        </is>
      </c>
      <c r="D5" s="21" t="inlineStr"/>
    </row>
    <row r="6">
      <c r="A6" s="19" t="n">
        <v>5</v>
      </c>
      <c r="B6" s="20" t="inlineStr">
        <is>
          <t>Verify that an alumnus record can be enriched with university or employer details.</t>
        </is>
      </c>
      <c r="C6" s="10" t="inlineStr">
        <is>
          <t>Not-Executed</t>
        </is>
      </c>
      <c r="D6" s="21" t="inlineStr"/>
    </row>
    <row r="7">
      <c r="A7" s="19" t="n">
        <v>6</v>
      </c>
      <c r="B7" s="20" t="inlineStr">
        <is>
          <t>Verify that a leaving certificate can be printed with school branding.</t>
        </is>
      </c>
      <c r="C7" s="10" t="inlineStr">
        <is>
          <t>Not-Executed</t>
        </is>
      </c>
      <c r="D7" s="21" t="inlineStr"/>
    </row>
    <row r="8">
      <c r="A8" s="19" t="n">
        <v>7</v>
      </c>
      <c r="B8" s="20" t="inlineStr">
        <is>
          <t>Verify that a returning alumnus can be re-admitted to active status.</t>
        </is>
      </c>
      <c r="C8" s="10" t="inlineStr">
        <is>
          <t>Not-Executed</t>
        </is>
      </c>
      <c r="D8" s="21" t="inlineStr"/>
    </row>
    <row r="9">
      <c r="A9" s="19" t="n">
        <v>8</v>
      </c>
      <c r="B9" s="20" t="inlineStr">
        <is>
          <t>Verify that re-admission preserves the prior record and does not duplicate it.</t>
        </is>
      </c>
      <c r="C9" s="10" t="inlineStr">
        <is>
          <t>Not-Executed</t>
        </is>
      </c>
      <c r="D9" s="21" t="inlineStr"/>
    </row>
    <row r="10">
      <c r="A10" s="19" t="n">
        <v>9</v>
      </c>
      <c r="B10" s="20" t="inlineStr">
        <is>
          <t>Verify that graduation and re-admission both write audit log entries.</t>
        </is>
      </c>
      <c r="C10" s="10" t="inlineStr">
        <is>
          <t>Not-Executed</t>
        </is>
      </c>
      <c r="D10" s="21" t="inlineStr"/>
    </row>
    <row r="11">
      <c r="A11" s="19" t="n">
        <v>10</v>
      </c>
      <c r="B11" s="20" t="inlineStr">
        <is>
          <t>Verify that the alumni list is searchable and filterable by graduation year.</t>
        </is>
      </c>
      <c r="C11" s="10" t="inlineStr">
        <is>
          <t>Not-Executed</t>
        </is>
      </c>
      <c r="D11" s="21" t="inlineStr"/>
    </row>
    <row r="12">
      <c r="A12" s="19" t="n">
        <v>11</v>
      </c>
      <c r="B12" s="20" t="inlineStr">
        <is>
          <t>Verify that alumni are excluded from invoice generation.</t>
        </is>
      </c>
      <c r="C12" s="10" t="inlineStr">
        <is>
          <t>Not-Executed</t>
        </is>
      </c>
      <c r="D12" s="21" t="inlineStr"/>
    </row>
  </sheetData>
  <mergeCells count="1">
    <mergeCell ref="F1:J1"/>
  </mergeCells>
  <conditionalFormatting sqref="C2:C12">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2" showDropDown="0" showInputMessage="0" showErrorMessage="0" allowBlank="1" type="list">
      <formula1>"Not-Executed,Passed,Failed,Blocker,N/A"</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9"/>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M14 Assessments (CBT)</t>
        </is>
      </c>
    </row>
    <row r="2">
      <c r="A2" s="19" t="n">
        <v>1</v>
      </c>
      <c r="B2" s="20" t="inlineStr">
        <is>
          <t>Verify that a teacher can create an assignment with a due date and class.</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a student can submit text, image or PDF work.</t>
        </is>
      </c>
      <c r="C3" s="10" t="inlineStr">
        <is>
          <t>Not-Executed</t>
        </is>
      </c>
      <c r="D3" s="21" t="inlineStr"/>
      <c r="F3" s="10">
        <f>COUNTA(B2:B19)</f>
        <v/>
      </c>
      <c r="G3" s="10">
        <f>COUNTIF(C2:C19,"Passed")</f>
        <v/>
      </c>
      <c r="H3" s="10">
        <f>COUNTIF(C2:C19,"Failed")</f>
        <v/>
      </c>
      <c r="I3" s="10">
        <f>COUNTIF(C2:C19,"Blocker")</f>
        <v/>
      </c>
      <c r="J3" s="10">
        <f>COUNTIF(C2:C19,"Not-Executed")</f>
        <v/>
      </c>
    </row>
    <row r="4">
      <c r="A4" s="19" t="n">
        <v>3</v>
      </c>
      <c r="B4" s="20" t="inlineStr">
        <is>
          <t>Verify that a teacher can place an inline comment pin on an image submission.</t>
        </is>
      </c>
      <c r="C4" s="10" t="inlineStr">
        <is>
          <t>Not-Executed</t>
        </is>
      </c>
      <c r="D4" s="21" t="inlineStr"/>
    </row>
    <row r="5">
      <c r="A5" s="19" t="n">
        <v>4</v>
      </c>
      <c r="B5" s="20" t="inlineStr">
        <is>
          <t>Verify that a comment pin persists at the exact coordinates when reopened.</t>
        </is>
      </c>
      <c r="C5" s="10" t="inlineStr">
        <is>
          <t>Not-Executed</t>
        </is>
      </c>
      <c r="D5" s="21" t="inlineStr"/>
    </row>
    <row r="6">
      <c r="A6" s="19" t="n">
        <v>5</v>
      </c>
      <c r="B6" s="20" t="inlineStr">
        <is>
          <t>Verify that a PDF submission supports sidebar comments.</t>
        </is>
      </c>
      <c r="C6" s="10" t="inlineStr">
        <is>
          <t>Not-Executed</t>
        </is>
      </c>
      <c r="D6" s="21" t="inlineStr"/>
    </row>
    <row r="7">
      <c r="A7" s="19" t="n">
        <v>6</v>
      </c>
      <c r="B7" s="20" t="inlineStr">
        <is>
          <t>Verify that a teacher can set a score and a status of Excellent, Satisfactory or Needs Revision.</t>
        </is>
      </c>
      <c r="C7" s="10" t="inlineStr">
        <is>
          <t>Not-Executed</t>
        </is>
      </c>
      <c r="D7" s="21" t="inlineStr"/>
    </row>
    <row r="8">
      <c r="A8" s="19" t="n">
        <v>7</v>
      </c>
      <c r="B8" s="20" t="inlineStr">
        <is>
          <t>Verify that returning work notifies both the student and the parent.</t>
        </is>
      </c>
      <c r="C8" s="10" t="inlineStr">
        <is>
          <t>Not-Executed</t>
        </is>
      </c>
      <c r="D8" s="21" t="inlineStr"/>
    </row>
    <row r="9">
      <c r="A9" s="19" t="n">
        <v>8</v>
      </c>
      <c r="B9" s="20" t="inlineStr">
        <is>
          <t>Verify that a student can view the grade, status and inline comments.</t>
        </is>
      </c>
      <c r="C9" s="10" t="inlineStr">
        <is>
          <t>Not-Executed</t>
        </is>
      </c>
      <c r="D9" s="21" t="inlineStr"/>
    </row>
    <row r="10">
      <c r="A10" s="19" t="n">
        <v>9</v>
      </c>
      <c r="B10" s="20" t="inlineStr">
        <is>
          <t>Verify that returned work can always be resubmitted.</t>
        </is>
      </c>
      <c r="C10" s="10" t="inlineStr">
        <is>
          <t>Not-Executed</t>
        </is>
      </c>
      <c r="D10" s="21" t="inlineStr"/>
    </row>
    <row r="11">
      <c r="A11" s="19" t="n">
        <v>10</v>
      </c>
      <c r="B11" s="20" t="inlineStr">
        <is>
          <t>Verify that the resubmission modal pre-populates the previous answer.</t>
        </is>
      </c>
      <c r="C11" s="10" t="inlineStr">
        <is>
          <t>Not-Executed</t>
        </is>
      </c>
      <c r="D11" s="21" t="inlineStr"/>
    </row>
    <row r="12">
      <c r="A12" s="19" t="n">
        <v>11</v>
      </c>
      <c r="B12" s="20" t="inlineStr">
        <is>
          <t>Verify that a resubmission replaces the prior submission for re-marking.</t>
        </is>
      </c>
      <c r="C12" s="10" t="inlineStr">
        <is>
          <t>Not-Executed</t>
        </is>
      </c>
      <c r="D12" s="21" t="inlineStr"/>
    </row>
    <row r="13">
      <c r="A13" s="19" t="n">
        <v>12</v>
      </c>
      <c r="B13" s="20" t="inlineStr">
        <is>
          <t>Verify that the teacher is notified of a resubmission.</t>
        </is>
      </c>
      <c r="C13" s="10" t="inlineStr">
        <is>
          <t>Not-Executed</t>
        </is>
      </c>
      <c r="D13" s="21" t="inlineStr"/>
    </row>
    <row r="14">
      <c r="A14" s="19" t="n">
        <v>13</v>
      </c>
      <c r="B14" s="20" t="inlineStr">
        <is>
          <t>Verify that a CBT with MCQ and True or False questions auto-grades on submit.</t>
        </is>
      </c>
      <c r="C14" s="10" t="inlineStr">
        <is>
          <t>Not-Executed</t>
        </is>
      </c>
      <c r="D14" s="21" t="inlineStr"/>
    </row>
    <row r="15">
      <c r="A15" s="19" t="n">
        <v>14</v>
      </c>
      <c r="B15" s="20" t="inlineStr">
        <is>
          <t>Verify that short-answer questions remain pending until the teacher marks them.</t>
        </is>
      </c>
      <c r="C15" s="10" t="inlineStr">
        <is>
          <t>Not-Executed</t>
        </is>
      </c>
      <c r="D15" s="21" t="inlineStr"/>
    </row>
    <row r="16">
      <c r="A16" s="19" t="n">
        <v>15</v>
      </c>
      <c r="B16" s="20" t="inlineStr">
        <is>
          <t>Verify that an overdue CBT shows a badge and cannot be submitted.</t>
        </is>
      </c>
      <c r="C16" s="10" t="inlineStr">
        <is>
          <t>Not-Executed</t>
        </is>
      </c>
      <c r="D16" s="21" t="inlineStr"/>
    </row>
    <row r="17">
      <c r="A17" s="19" t="n">
        <v>16</v>
      </c>
      <c r="B17" s="20" t="inlineStr">
        <is>
          <t>Verify that admin oversight shows all teachers' assignments and CBTs.</t>
        </is>
      </c>
      <c r="C17" s="10" t="inlineStr">
        <is>
          <t>Not-Executed</t>
        </is>
      </c>
      <c r="D17" s="21" t="inlineStr"/>
    </row>
    <row r="18">
      <c r="A18" s="19" t="n">
        <v>17</v>
      </c>
      <c r="B18" s="20" t="inlineStr">
        <is>
          <t>Verify that a student cannot see another student's submission or grade.</t>
        </is>
      </c>
      <c r="C18" s="10" t="inlineStr">
        <is>
          <t>Not-Executed</t>
        </is>
      </c>
      <c r="D18" s="21" t="inlineStr"/>
    </row>
    <row r="19">
      <c r="A19" s="19" t="n">
        <v>18</v>
      </c>
      <c r="B19" s="20" t="inlineStr">
        <is>
          <t>Verify that an assignment with no submissions shows an empty state.</t>
        </is>
      </c>
      <c r="C19" s="10" t="inlineStr">
        <is>
          <t>Not-Executed</t>
        </is>
      </c>
      <c r="D19" s="21" t="inlineStr"/>
    </row>
  </sheetData>
  <mergeCells count="1">
    <mergeCell ref="F1:J1"/>
  </mergeCells>
  <conditionalFormatting sqref="C2:C19">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9" showDropDown="0" showInputMessage="0" showErrorMessage="0" allowBlank="1" type="list">
      <formula1>"Not-Executed,Passed,Failed,Blocker,N/A"</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4"/>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M15 Multi-branch Groups</t>
        </is>
      </c>
    </row>
    <row r="2">
      <c r="A2" s="19" t="n">
        <v>1</v>
      </c>
      <c r="B2" s="20" t="inlineStr">
        <is>
          <t>Verify that a standalone school can be promoted to group HQ when entitled.</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promoting to HQ creates the group and preserves existing school data.</t>
        </is>
      </c>
      <c r="C3" s="10" t="inlineStr">
        <is>
          <t>Not-Executed</t>
        </is>
      </c>
      <c r="D3" s="21" t="inlineStr"/>
      <c r="F3" s="10">
        <f>COUNTA(B2:B14)</f>
        <v/>
      </c>
      <c r="G3" s="10">
        <f>COUNTIF(C2:C14,"Passed")</f>
        <v/>
      </c>
      <c r="H3" s="10">
        <f>COUNTIF(C2:C14,"Failed")</f>
        <v/>
      </c>
      <c r="I3" s="10">
        <f>COUNTIF(C2:C14,"Blocker")</f>
        <v/>
      </c>
      <c r="J3" s="10">
        <f>COUNTIF(C2:C14,"Not-Executed")</f>
        <v/>
      </c>
    </row>
    <row r="4">
      <c r="A4" s="19" t="n">
        <v>3</v>
      </c>
      <c r="B4" s="20" t="inlineStr">
        <is>
          <t>Verify that the Branches navigation is hidden when the multibranch entitlement is off.</t>
        </is>
      </c>
      <c r="C4" s="10" t="inlineStr">
        <is>
          <t>Not-Executed</t>
        </is>
      </c>
      <c r="D4" s="21" t="inlineStr"/>
    </row>
    <row r="5">
      <c r="A5" s="19" t="n">
        <v>4</v>
      </c>
      <c r="B5" s="20" t="inlineStr">
        <is>
          <t>Verify that group overview totals equal the sum of the individual branch figures.</t>
        </is>
      </c>
      <c r="C5" s="10" t="inlineStr">
        <is>
          <t>Not-Executed</t>
        </is>
      </c>
      <c r="D5" s="21" t="inlineStr"/>
    </row>
    <row r="6">
      <c r="A6" s="19" t="n">
        <v>5</v>
      </c>
      <c r="B6" s="20" t="inlineStr">
        <is>
          <t>Verify that group enrolment equals the sum of branch enrolment.</t>
        </is>
      </c>
      <c r="C6" s="10" t="inlineStr">
        <is>
          <t>Not-Executed</t>
        </is>
      </c>
      <c r="D6" s="21" t="inlineStr"/>
    </row>
    <row r="7">
      <c r="A7" s="19" t="n">
        <v>6</v>
      </c>
      <c r="B7" s="20" t="inlineStr">
        <is>
          <t>Verify that a group owner can switch into any branch and operate it normally.</t>
        </is>
      </c>
      <c r="C7" s="10" t="inlineStr">
        <is>
          <t>Not-Executed</t>
        </is>
      </c>
      <c r="D7" s="21" t="inlineStr"/>
    </row>
    <row r="8">
      <c r="A8" s="19" t="n">
        <v>7</v>
      </c>
      <c r="B8" s="20" t="inlineStr">
        <is>
          <t>Verify that currentSchoolId resolves to the active branch after switching.</t>
        </is>
      </c>
      <c r="C8" s="10" t="inlineStr">
        <is>
          <t>Not-Executed</t>
        </is>
      </c>
      <c r="D8" s="21" t="inlineStr"/>
    </row>
    <row r="9">
      <c r="A9" s="19" t="n">
        <v>8</v>
      </c>
      <c r="B9" s="20" t="inlineStr">
        <is>
          <t>Verify that no record from one branch is visible in another after switching.</t>
        </is>
      </c>
      <c r="C9" s="10" t="inlineStr">
        <is>
          <t>Not-Executed</t>
        </is>
      </c>
      <c r="D9" s="21" t="inlineStr"/>
    </row>
    <row r="10">
      <c r="A10" s="19" t="n">
        <v>9</v>
      </c>
      <c r="B10" s="20" t="inlineStr">
        <is>
          <t>Verify that a newly added branch starts empty and fully isolated.</t>
        </is>
      </c>
      <c r="C10" s="10" t="inlineStr">
        <is>
          <t>Not-Executed</t>
        </is>
      </c>
      <c r="D10" s="21" t="inlineStr"/>
    </row>
    <row r="11">
      <c r="A11" s="19" t="n">
        <v>10</v>
      </c>
      <c r="B11" s="20" t="inlineStr">
        <is>
          <t>Verify that a branch can be added self-serve without support intervention.</t>
        </is>
      </c>
      <c r="C11" s="10" t="inlineStr">
        <is>
          <t>Not-Executed</t>
        </is>
      </c>
      <c r="D11" s="21" t="inlineStr"/>
    </row>
    <row r="12">
      <c r="A12" s="19" t="n">
        <v>11</v>
      </c>
      <c r="B12" s="20" t="inlineStr">
        <is>
          <t>Verify that the group layer stays available while switched into a branch.</t>
        </is>
      </c>
      <c r="C12" s="10" t="inlineStr">
        <is>
          <t>Not-Executed</t>
        </is>
      </c>
      <c r="D12" s="21" t="inlineStr"/>
    </row>
    <row r="13">
      <c r="A13" s="19" t="n">
        <v>12</v>
      </c>
      <c r="B13" s="20" t="inlineStr">
        <is>
          <t>Verify that the active branch is clearly shown in the header at all times.</t>
        </is>
      </c>
      <c r="C13" s="10" t="inlineStr">
        <is>
          <t>Not-Executed</t>
        </is>
      </c>
      <c r="D13" s="21" t="inlineStr"/>
    </row>
    <row r="14">
      <c r="A14" s="19" t="n">
        <v>13</v>
      </c>
      <c r="B14" s="20" t="inlineStr">
        <is>
          <t>Verify that reports and audit logs cover only the active branch.</t>
        </is>
      </c>
      <c r="C14" s="10" t="inlineStr">
        <is>
          <t>Not-Executed</t>
        </is>
      </c>
      <c r="D14" s="21" t="inlineStr"/>
    </row>
  </sheetData>
  <mergeCells count="1">
    <mergeCell ref="F1:J1"/>
  </mergeCells>
  <conditionalFormatting sqref="C2:C14">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4" showDropDown="0" showInputMessage="0" showErrorMessage="0" allowBlank="1" type="list">
      <formula1>"Not-Executed,Passed,Failed,Blocker,N/A"</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4"/>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M16 Feature Entitlements</t>
        </is>
      </c>
    </row>
    <row r="2">
      <c r="A2" s="19" t="n">
        <v>1</v>
      </c>
      <c r="B2" s="20" t="inlineStr">
        <is>
          <t>Verify that features included in the plan tier are visible by default.</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a per-school override switches a feature on immediately.</t>
        </is>
      </c>
      <c r="C3" s="10" t="inlineStr">
        <is>
          <t>Not-Executed</t>
        </is>
      </c>
      <c r="D3" s="21" t="inlineStr"/>
      <c r="F3" s="10">
        <f>COUNTA(B2:B14)</f>
        <v/>
      </c>
      <c r="G3" s="10">
        <f>COUNTIF(C2:C14,"Passed")</f>
        <v/>
      </c>
      <c r="H3" s="10">
        <f>COUNTIF(C2:C14,"Failed")</f>
        <v/>
      </c>
      <c r="I3" s="10">
        <f>COUNTIF(C2:C14,"Blocker")</f>
        <v/>
      </c>
      <c r="J3" s="10">
        <f>COUNTIF(C2:C14,"Not-Executed")</f>
        <v/>
      </c>
    </row>
    <row r="4">
      <c r="A4" s="19" t="n">
        <v>3</v>
      </c>
      <c r="B4" s="20" t="inlineStr">
        <is>
          <t>Verify that a per-school removal hides a feature the plan would otherwise include.</t>
        </is>
      </c>
      <c r="C4" s="10" t="inlineStr">
        <is>
          <t>Not-Executed</t>
        </is>
      </c>
      <c r="D4" s="21" t="inlineStr"/>
    </row>
    <row r="5">
      <c r="A5" s="19" t="n">
        <v>4</v>
      </c>
      <c r="B5" s="20" t="inlineStr">
        <is>
          <t>Verify that an unentitled module is hidden from the navigation entirely.</t>
        </is>
      </c>
      <c r="C5" s="10" t="inlineStr">
        <is>
          <t>Not-Executed</t>
        </is>
      </c>
      <c r="D5" s="21" t="inlineStr"/>
    </row>
    <row r="6">
      <c r="A6" s="19" t="n">
        <v>5</v>
      </c>
      <c r="B6" s="20" t="inlineStr">
        <is>
          <t>Verify that deep-linking to an unentitled view shows a locked screen.</t>
        </is>
      </c>
      <c r="C6" s="10" t="inlineStr">
        <is>
          <t>Not-Executed</t>
        </is>
      </c>
      <c r="D6" s="21" t="inlineStr"/>
    </row>
    <row r="7">
      <c r="A7" s="19" t="n">
        <v>6</v>
      </c>
      <c r="B7" s="20" t="inlineStr">
        <is>
          <t>Verify that the locked screen presents an upgrade path.</t>
        </is>
      </c>
      <c r="C7" s="10" t="inlineStr">
        <is>
          <t>Not-Executed</t>
        </is>
      </c>
      <c r="D7" s="21" t="inlineStr"/>
    </row>
    <row r="8">
      <c r="A8" s="19" t="n">
        <v>7</v>
      </c>
      <c r="B8" s="20" t="inlineStr">
        <is>
          <t>Verify that requesting a feature raises a ticket in the COP support desk.</t>
        </is>
      </c>
      <c r="C8" s="10" t="inlineStr">
        <is>
          <t>Not-Executed</t>
        </is>
      </c>
      <c r="D8" s="21" t="inlineStr"/>
    </row>
    <row r="9">
      <c r="A9" s="19" t="n">
        <v>8</v>
      </c>
      <c r="B9" s="20" t="inlineStr">
        <is>
          <t>Verify that the requesting school sees that ticket in their own Help and Support.</t>
        </is>
      </c>
      <c r="C9" s="10" t="inlineStr">
        <is>
          <t>Not-Executed</t>
        </is>
      </c>
      <c r="D9" s="21" t="inlineStr"/>
    </row>
    <row r="10">
      <c r="A10" s="19" t="n">
        <v>9</v>
      </c>
      <c r="B10" s="20" t="inlineStr">
        <is>
          <t>Verify that hasFeature resolves override before plan default.</t>
        </is>
      </c>
      <c r="C10" s="10" t="inlineStr">
        <is>
          <t>Not-Executed</t>
        </is>
      </c>
      <c r="D10" s="21" t="inlineStr"/>
    </row>
    <row r="11">
      <c r="A11" s="19" t="n">
        <v>10</v>
      </c>
      <c r="B11" s="20" t="inlineStr">
        <is>
          <t>Verify that gating is enforced in both the nav and the view guard.</t>
        </is>
      </c>
      <c r="C11" s="10" t="inlineStr">
        <is>
          <t>Not-Executed</t>
        </is>
      </c>
      <c r="D11" s="21" t="inlineStr"/>
    </row>
    <row r="12">
      <c r="A12" s="19" t="n">
        <v>11</v>
      </c>
      <c r="B12" s="20" t="inlineStr">
        <is>
          <t>Verify that every lending entry point is unreachable while the lending entitlement is off.</t>
        </is>
      </c>
      <c r="C12" s="10" t="inlineStr">
        <is>
          <t>Not-Executed</t>
        </is>
      </c>
      <c r="D12" s="21" t="inlineStr"/>
    </row>
    <row r="13">
      <c r="A13" s="19" t="n">
        <v>12</v>
      </c>
      <c r="B13" s="20" t="inlineStr">
        <is>
          <t>Verify that a global platform flag switched off overrides any per-school override.</t>
        </is>
      </c>
      <c r="C13" s="10" t="inlineStr">
        <is>
          <t>Not-Executed</t>
        </is>
      </c>
      <c r="D13" s="21" t="inlineStr"/>
    </row>
    <row r="14">
      <c r="A14" s="19" t="n">
        <v>13</v>
      </c>
      <c r="B14" s="20" t="inlineStr">
        <is>
          <t>Verify that entitlement changes take effect without a redeploy or re-login.</t>
        </is>
      </c>
      <c r="C14" s="10" t="inlineStr">
        <is>
          <t>Not-Executed</t>
        </is>
      </c>
      <c r="D14" s="21" t="inlineStr"/>
    </row>
  </sheetData>
  <mergeCells count="1">
    <mergeCell ref="F1:J1"/>
  </mergeCells>
  <conditionalFormatting sqref="C2:C14">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4" showDropDown="0" showInputMessage="0" showErrorMessage="0" allowBlank="1" type="list">
      <formula1>"Not-Executed,Passed,Failed,Blocker,N/A"</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0"/>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M17 Super Admin (COP)</t>
        </is>
      </c>
    </row>
    <row r="2">
      <c r="A2" s="19" t="n">
        <v>1</v>
      </c>
      <c r="B2" s="20" t="inlineStr">
        <is>
          <t>Verify that a new school can be created with details, plan and feature modules.</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a unique school ID and admin credentials are generated on creation.</t>
        </is>
      </c>
      <c r="C3" s="10" t="inlineStr">
        <is>
          <t>Not-Executed</t>
        </is>
      </c>
      <c r="D3" s="21" t="inlineStr"/>
      <c r="F3" s="10">
        <f>COUNTA(B2:B20)</f>
        <v/>
      </c>
      <c r="G3" s="10">
        <f>COUNTIF(C2:C20,"Passed")</f>
        <v/>
      </c>
      <c r="H3" s="10">
        <f>COUNTIF(C2:C20,"Failed")</f>
        <v/>
      </c>
      <c r="I3" s="10">
        <f>COUNTIF(C2:C20,"Blocker")</f>
        <v/>
      </c>
      <c r="J3" s="10">
        <f>COUNTIF(C2:C20,"Not-Executed")</f>
        <v/>
      </c>
    </row>
    <row r="4">
      <c r="A4" s="19" t="n">
        <v>3</v>
      </c>
      <c r="B4" s="20" t="inlineStr">
        <is>
          <t>Verify that the onboarding email is sent and the status is set to Onboarding.</t>
        </is>
      </c>
      <c r="C4" s="10" t="inlineStr">
        <is>
          <t>Not-Executed</t>
        </is>
      </c>
      <c r="D4" s="21" t="inlineStr"/>
    </row>
    <row r="5">
      <c r="A5" s="19" t="n">
        <v>4</v>
      </c>
      <c r="B5" s="20" t="inlineStr">
        <is>
          <t>Verify that completing configuration moves the school status to Active.</t>
        </is>
      </c>
      <c r="C5" s="10" t="inlineStr">
        <is>
          <t>Not-Executed</t>
        </is>
      </c>
      <c r="D5" s="21" t="inlineStr"/>
    </row>
    <row r="6">
      <c r="A6" s="19" t="n">
        <v>5</v>
      </c>
      <c r="B6" s="20" t="inlineStr">
        <is>
          <t>Verify that the verification queue lists self-registered schools awaiting review.</t>
        </is>
      </c>
      <c r="C6" s="10" t="inlineStr">
        <is>
          <t>Not-Executed</t>
        </is>
      </c>
      <c r="D6" s="21" t="inlineStr"/>
    </row>
    <row r="7">
      <c r="A7" s="19" t="n">
        <v>6</v>
      </c>
      <c r="B7" s="20" t="inlineStr">
        <is>
          <t>Verify that approving a school lifts its verification gate.</t>
        </is>
      </c>
      <c r="C7" s="10" t="inlineStr">
        <is>
          <t>Not-Executed</t>
        </is>
      </c>
      <c r="D7" s="21" t="inlineStr"/>
    </row>
    <row r="8">
      <c r="A8" s="19" t="n">
        <v>7</v>
      </c>
      <c r="B8" s="20" t="inlineStr">
        <is>
          <t>Verify that rejecting a school records a reason shown verbatim to the proprietor.</t>
        </is>
      </c>
      <c r="C8" s="10" t="inlineStr">
        <is>
          <t>Not-Executed</t>
        </is>
      </c>
      <c r="D8" s="21" t="inlineStr"/>
    </row>
    <row r="9">
      <c r="A9" s="19" t="n">
        <v>8</v>
      </c>
      <c r="B9" s="20" t="inlineStr">
        <is>
          <t>Verify that suspending a school blocks all its school-side logins immediately.</t>
        </is>
      </c>
      <c r="C9" s="10" t="inlineStr">
        <is>
          <t>Not-Executed</t>
        </is>
      </c>
      <c r="D9" s="21" t="inlineStr"/>
    </row>
    <row r="10">
      <c r="A10" s="19" t="n">
        <v>9</v>
      </c>
      <c r="B10" s="20" t="inlineStr">
        <is>
          <t>Verify that reactivating a suspended school restores access.</t>
        </is>
      </c>
      <c r="C10" s="10" t="inlineStr">
        <is>
          <t>Not-Executed</t>
        </is>
      </c>
      <c r="D10" s="21" t="inlineStr"/>
    </row>
    <row r="11">
      <c r="A11" s="19" t="n">
        <v>10</v>
      </c>
      <c r="B11" s="20" t="inlineStr">
        <is>
          <t>Verify that revenue figures show MRR, ARR and commissions correctly.</t>
        </is>
      </c>
      <c r="C11" s="10" t="inlineStr">
        <is>
          <t>Not-Executed</t>
        </is>
      </c>
      <c r="D11" s="21" t="inlineStr"/>
    </row>
    <row r="12">
      <c r="A12" s="19" t="n">
        <v>11</v>
      </c>
      <c r="B12" s="20" t="inlineStr">
        <is>
          <t>Verify that a support ticket shows an SLA countdown.</t>
        </is>
      </c>
      <c r="C12" s="10" t="inlineStr">
        <is>
          <t>Not-Executed</t>
        </is>
      </c>
      <c r="D12" s="21" t="inlineStr"/>
    </row>
    <row r="13">
      <c r="A13" s="19" t="n">
        <v>12</v>
      </c>
      <c r="B13" s="20" t="inlineStr">
        <is>
          <t>Verify that a ticket breaching its SLA auto-escalates.</t>
        </is>
      </c>
      <c r="C13" s="10" t="inlineStr">
        <is>
          <t>Not-Executed</t>
        </is>
      </c>
      <c r="D13" s="21" t="inlineStr"/>
    </row>
    <row r="14">
      <c r="A14" s="19" t="n">
        <v>13</v>
      </c>
      <c r="B14" s="20" t="inlineStr">
        <is>
          <t>Verify that a COP user sees only the modules their RBAC role permits.</t>
        </is>
      </c>
      <c r="C14" s="10" t="inlineStr">
        <is>
          <t>Not-Executed</t>
        </is>
      </c>
      <c r="D14" s="21" t="inlineStr"/>
    </row>
    <row r="15">
      <c r="A15" s="19" t="n">
        <v>14</v>
      </c>
      <c r="B15" s="20" t="inlineStr">
        <is>
          <t>Verify that COP activity logs are immutable.</t>
        </is>
      </c>
      <c r="C15" s="10" t="inlineStr">
        <is>
          <t>Not-Executed</t>
        </is>
      </c>
      <c r="D15" s="21" t="inlineStr"/>
    </row>
    <row r="16">
      <c r="A16" s="19" t="n">
        <v>15</v>
      </c>
      <c r="B16" s="20" t="inlineStr">
        <is>
          <t>Verify that analytics can be exported to Excel, CSV or PDF with filters applied.</t>
        </is>
      </c>
      <c r="C16" s="10" t="inlineStr">
        <is>
          <t>Not-Executed</t>
        </is>
      </c>
      <c r="D16" s="21" t="inlineStr"/>
    </row>
    <row r="17">
      <c r="A17" s="19" t="n">
        <v>16</v>
      </c>
      <c r="B17" s="20" t="inlineStr">
        <is>
          <t>Verify that a school's plan and features can be assigned from the COP.</t>
        </is>
      </c>
      <c r="C17" s="10" t="inlineStr">
        <is>
          <t>Not-Executed</t>
        </is>
      </c>
      <c r="D17" s="21" t="inlineStr"/>
    </row>
    <row r="18">
      <c r="A18" s="19" t="n">
        <v>17</v>
      </c>
      <c r="B18" s="20" t="inlineStr">
        <is>
          <t>Verify that a plan change made in the COP follows the same rule as the self-serve path.</t>
        </is>
      </c>
      <c r="C18" s="10" t="inlineStr">
        <is>
          <t>Not-Executed</t>
        </is>
      </c>
      <c r="D18" s="21" t="inlineStr"/>
    </row>
    <row r="19">
      <c r="A19" s="19" t="n">
        <v>18</v>
      </c>
      <c r="B19" s="20" t="inlineStr">
        <is>
          <t>Verify that the lending and disbursement console is hidden while loans are on hold.</t>
        </is>
      </c>
      <c r="C19" s="10" t="inlineStr">
        <is>
          <t>Not-Executed</t>
        </is>
      </c>
      <c r="D19" s="21" t="inlineStr"/>
    </row>
    <row r="20">
      <c r="A20" s="19" t="n">
        <v>19</v>
      </c>
      <c r="B20" s="20" t="inlineStr">
        <is>
          <t>Verify that every COP action is audited and attributed.</t>
        </is>
      </c>
      <c r="C20" s="10" t="inlineStr">
        <is>
          <t>Not-Executed</t>
        </is>
      </c>
      <c r="D20" s="21" t="inlineStr"/>
    </row>
  </sheetData>
  <mergeCells count="1">
    <mergeCell ref="F1:J1"/>
  </mergeCells>
  <conditionalFormatting sqref="C2:C20">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20" showDropDown="0" showInputMessage="0" showErrorMessage="0" allowBlank="1" type="list">
      <formula1>"Not-Executed,Passed,Failed,Blocker,N/A"</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9"/>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22" t="inlineStr">
        <is>
          <t>M18 Lending (On Hold) — ON HOLD, must remain gated off</t>
        </is>
      </c>
    </row>
    <row r="2">
      <c r="A2" s="19" t="n">
        <v>1</v>
      </c>
      <c r="B2" s="20" t="inlineStr">
        <is>
          <t>Verify that the Lending navigation item is absent for every school.</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the parent Apply for a loan entry point is unreachable.</t>
        </is>
      </c>
      <c r="C3" s="10" t="inlineStr">
        <is>
          <t>Not-Executed</t>
        </is>
      </c>
      <c r="D3" s="21" t="inlineStr"/>
      <c r="F3" s="10">
        <f>COUNTA(B2:B9)</f>
        <v/>
      </c>
      <c r="G3" s="10">
        <f>COUNTIF(C2:C9,"Passed")</f>
        <v/>
      </c>
      <c r="H3" s="10">
        <f>COUNTIF(C2:C9,"Failed")</f>
        <v/>
      </c>
      <c r="I3" s="10">
        <f>COUNTIF(C2:C9,"Blocker")</f>
        <v/>
      </c>
      <c r="J3" s="10">
        <f>COUNTIF(C2:C9,"Not-Executed")</f>
        <v/>
      </c>
    </row>
    <row r="4">
      <c r="A4" s="19" t="n">
        <v>3</v>
      </c>
      <c r="B4" s="20" t="inlineStr">
        <is>
          <t>Verify that the finance Lending view is unreachable by deep link.</t>
        </is>
      </c>
      <c r="C4" s="10" t="inlineStr">
        <is>
          <t>Not-Executed</t>
        </is>
      </c>
      <c r="D4" s="21" t="inlineStr"/>
    </row>
    <row r="5">
      <c r="A5" s="19" t="n">
        <v>4</v>
      </c>
      <c r="B5" s="20" t="inlineStr">
        <is>
          <t>Verify that the COP disbursement console is hidden or disabled.</t>
        </is>
      </c>
      <c r="C5" s="10" t="inlineStr">
        <is>
          <t>Not-Executed</t>
        </is>
      </c>
      <c r="D5" s="21" t="inlineStr"/>
    </row>
    <row r="6">
      <c r="A6" s="19" t="n">
        <v>5</v>
      </c>
      <c r="B6" s="20" t="inlineStr">
        <is>
          <t>Verify that the lending entitlement is off by default for all schools.</t>
        </is>
      </c>
      <c r="C6" s="10" t="inlineStr">
        <is>
          <t>Not-Executed</t>
        </is>
      </c>
      <c r="D6" s="21" t="inlineStr"/>
    </row>
    <row r="7">
      <c r="A7" s="19" t="n">
        <v>6</v>
      </c>
      <c r="B7" s="20" t="inlineStr">
        <is>
          <t>Verify that no loan-related notification is ever dispatched.</t>
        </is>
      </c>
      <c r="C7" s="10" t="inlineStr">
        <is>
          <t>Not-Executed</t>
        </is>
      </c>
      <c r="D7" s="21" t="inlineStr"/>
    </row>
    <row r="8">
      <c r="A8" s="19" t="n">
        <v>7</v>
      </c>
      <c r="B8" s="20" t="inlineStr">
        <is>
          <t>Verify that no loan record can be created through any surface.</t>
        </is>
      </c>
      <c r="C8" s="10" t="inlineStr">
        <is>
          <t>Not-Executed</t>
        </is>
      </c>
      <c r="D8" s="21" t="inlineStr"/>
    </row>
    <row r="9">
      <c r="A9" s="19" t="n">
        <v>8</v>
      </c>
      <c r="B9" s="20" t="inlineStr">
        <is>
          <t>Verify that no loan figure appears in any financial report or dashboard.</t>
        </is>
      </c>
      <c r="C9" s="10" t="inlineStr">
        <is>
          <t>Not-Executed</t>
        </is>
      </c>
      <c r="D9" s="21" t="inlineStr"/>
    </row>
  </sheetData>
  <mergeCells count="1">
    <mergeCell ref="F1:J1"/>
  </mergeCells>
  <conditionalFormatting sqref="C2:C9">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9" showDropDown="0" showInputMessage="0" showErrorMessage="0" allowBlank="1" type="list">
      <formula1>"Not-Executed,Passed,Failed,Blocker,N/A"</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2"/>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M19 Learning &amp; Content</t>
        </is>
      </c>
    </row>
    <row r="2">
      <c r="A2" s="19" t="n">
        <v>1</v>
      </c>
      <c r="B2" s="20" t="inlineStr">
        <is>
          <t>Verify that a teacher can create a lesson plan with title, subject, class and term.</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notes, files, links and video can be attached to content.</t>
        </is>
      </c>
      <c r="C3" s="10" t="inlineStr">
        <is>
          <t>Not-Executed</t>
        </is>
      </c>
      <c r="D3" s="21" t="inlineStr"/>
      <c r="F3" s="10">
        <f>COUNTA(B2:B12)</f>
        <v/>
      </c>
      <c r="G3" s="10">
        <f>COUNTIF(C2:C12,"Passed")</f>
        <v/>
      </c>
      <c r="H3" s="10">
        <f>COUNTIF(C2:C12,"Failed")</f>
        <v/>
      </c>
      <c r="I3" s="10">
        <f>COUNTIF(C2:C12,"Blocker")</f>
        <v/>
      </c>
      <c r="J3" s="10">
        <f>COUNTIF(C2:C12,"Not-Executed")</f>
        <v/>
      </c>
    </row>
    <row r="4">
      <c r="A4" s="19" t="n">
        <v>3</v>
      </c>
      <c r="B4" s="20" t="inlineStr">
        <is>
          <t>Verify that unpublished draft content is hidden from students.</t>
        </is>
      </c>
      <c r="C4" s="10" t="inlineStr">
        <is>
          <t>Not-Executed</t>
        </is>
      </c>
      <c r="D4" s="21" t="inlineStr"/>
    </row>
    <row r="5">
      <c r="A5" s="19" t="n">
        <v>4</v>
      </c>
      <c r="B5" s="20" t="inlineStr">
        <is>
          <t>Verify that publishing makes content visible to the correct class only.</t>
        </is>
      </c>
      <c r="C5" s="10" t="inlineStr">
        <is>
          <t>Not-Executed</t>
        </is>
      </c>
      <c r="D5" s="21" t="inlineStr"/>
    </row>
    <row r="6">
      <c r="A6" s="19" t="n">
        <v>5</v>
      </c>
      <c r="B6" s="20" t="inlineStr">
        <is>
          <t>Verify that a student in another class cannot see the material.</t>
        </is>
      </c>
      <c r="C6" s="10" t="inlineStr">
        <is>
          <t>Not-Executed</t>
        </is>
      </c>
      <c r="D6" s="21" t="inlineStr"/>
    </row>
    <row r="7">
      <c r="A7" s="19" t="n">
        <v>6</v>
      </c>
      <c r="B7" s="20" t="inlineStr">
        <is>
          <t>Verify that content is scoped to the correct subject as well as the class.</t>
        </is>
      </c>
      <c r="C7" s="10" t="inlineStr">
        <is>
          <t>Not-Executed</t>
        </is>
      </c>
      <c r="D7" s="21" t="inlineStr"/>
    </row>
    <row r="8">
      <c r="A8" s="19" t="n">
        <v>7</v>
      </c>
      <c r="B8" s="20" t="inlineStr">
        <is>
          <t>Verify that attachments render or download correctly for students.</t>
        </is>
      </c>
      <c r="C8" s="10" t="inlineStr">
        <is>
          <t>Not-Executed</t>
        </is>
      </c>
      <c r="D8" s="21" t="inlineStr"/>
    </row>
    <row r="9">
      <c r="A9" s="19" t="n">
        <v>8</v>
      </c>
      <c r="B9" s="20" t="inlineStr">
        <is>
          <t>Verify that a large file upload is handled gracefully with progress feedback.</t>
        </is>
      </c>
      <c r="C9" s="10" t="inlineStr">
        <is>
          <t>Not-Executed</t>
        </is>
      </c>
      <c r="D9" s="21" t="inlineStr"/>
    </row>
    <row r="10">
      <c r="A10" s="19" t="n">
        <v>9</v>
      </c>
      <c r="B10" s="20" t="inlineStr">
        <is>
          <t>Verify that an unsupported file type is rejected with a clear message.</t>
        </is>
      </c>
      <c r="C10" s="10" t="inlineStr">
        <is>
          <t>Not-Executed</t>
        </is>
      </c>
      <c r="D10" s="21" t="inlineStr"/>
    </row>
    <row r="11">
      <c r="A11" s="19" t="n">
        <v>10</v>
      </c>
      <c r="B11" s="20" t="inlineStr">
        <is>
          <t>Verify that admin oversight shows all published materials school-wide.</t>
        </is>
      </c>
      <c r="C11" s="10" t="inlineStr">
        <is>
          <t>Not-Executed</t>
        </is>
      </c>
      <c r="D11" s="21" t="inlineStr"/>
    </row>
    <row r="12">
      <c r="A12" s="19" t="n">
        <v>11</v>
      </c>
      <c r="B12" s="20" t="inlineStr">
        <is>
          <t>Verify that deleted material disappears from the student learning area.</t>
        </is>
      </c>
      <c r="C12" s="10" t="inlineStr">
        <is>
          <t>Not-Executed</t>
        </is>
      </c>
      <c r="D12" s="21" t="inlineStr"/>
    </row>
  </sheetData>
  <mergeCells count="1">
    <mergeCell ref="F1:J1"/>
  </mergeCells>
  <conditionalFormatting sqref="C2:C12">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2" showDropDown="0" showInputMessage="0" showErrorMessage="0" allowBlank="1" type="list">
      <formula1>"Not-Executed,Passed,Failed,Blocker,N/A"</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M20 Behaviour &amp; Discipline</t>
        </is>
      </c>
    </row>
    <row r="2">
      <c r="A2" s="19" t="n">
        <v>1</v>
      </c>
      <c r="B2" s="20" t="inlineStr">
        <is>
          <t>Verify that a behaviour incident can be recorded with category, note and action taken.</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a merit can be recorded and is distinguished from an incident.</t>
        </is>
      </c>
      <c r="C3" s="10" t="inlineStr">
        <is>
          <t>Not-Executed</t>
        </is>
      </c>
      <c r="D3" s="21" t="inlineStr"/>
      <c r="F3" s="10">
        <f>COUNTA(B2:B13)</f>
        <v/>
      </c>
      <c r="G3" s="10">
        <f>COUNTIF(C2:C13,"Passed")</f>
        <v/>
      </c>
      <c r="H3" s="10">
        <f>COUNTIF(C2:C13,"Failed")</f>
        <v/>
      </c>
      <c r="I3" s="10">
        <f>COUNTIF(C2:C13,"Blocker")</f>
        <v/>
      </c>
      <c r="J3" s="10">
        <f>COUNTIF(C2:C13,"Not-Executed")</f>
        <v/>
      </c>
    </row>
    <row r="4">
      <c r="A4" s="19" t="n">
        <v>3</v>
      </c>
      <c r="B4" s="20" t="inlineStr">
        <is>
          <t>Verify that the record appears on the student profile with timestamp and author.</t>
        </is>
      </c>
      <c r="C4" s="10" t="inlineStr">
        <is>
          <t>Not-Executed</t>
        </is>
      </c>
      <c r="D4" s="21" t="inlineStr"/>
    </row>
    <row r="5">
      <c r="A5" s="19" t="n">
        <v>4</v>
      </c>
      <c r="B5" s="20" t="inlineStr">
        <is>
          <t>Verify that a sanction can be applied with a type, reason and date range.</t>
        </is>
      </c>
      <c r="C5" s="10" t="inlineStr">
        <is>
          <t>Not-Executed</t>
        </is>
      </c>
      <c r="D5" s="21" t="inlineStr"/>
    </row>
    <row r="6">
      <c r="A6" s="19" t="n">
        <v>5</v>
      </c>
      <c r="B6" s="20" t="inlineStr">
        <is>
          <t>Verify that a suspension reflects on the student's active status for its period.</t>
        </is>
      </c>
      <c r="C6" s="10" t="inlineStr">
        <is>
          <t>Not-Executed</t>
        </is>
      </c>
      <c r="D6" s="21" t="inlineStr"/>
    </row>
    <row r="7">
      <c r="A7" s="19" t="n">
        <v>6</v>
      </c>
      <c r="B7" s="20" t="inlineStr">
        <is>
          <t>Verify that a sanction with a duration auto-expires at its end date.</t>
        </is>
      </c>
      <c r="C7" s="10" t="inlineStr">
        <is>
          <t>Not-Executed</t>
        </is>
      </c>
      <c r="D7" s="21" t="inlineStr"/>
    </row>
    <row r="8">
      <c r="A8" s="19" t="n">
        <v>7</v>
      </c>
      <c r="B8" s="20" t="inlineStr">
        <is>
          <t>Verify that a suspension raised here appears in the Students suspensions register.</t>
        </is>
      </c>
      <c r="C8" s="10" t="inlineStr">
        <is>
          <t>Not-Executed</t>
        </is>
      </c>
      <c r="D8" s="21" t="inlineStr"/>
    </row>
    <row r="9">
      <c r="A9" s="19" t="n">
        <v>8</v>
      </c>
      <c r="B9" s="20" t="inlineStr">
        <is>
          <t>Verify that parents are notified for incidents above the agreed threshold.</t>
        </is>
      </c>
      <c r="C9" s="10" t="inlineStr">
        <is>
          <t>Not-Executed</t>
        </is>
      </c>
      <c r="D9" s="21" t="inlineStr"/>
    </row>
    <row r="10">
      <c r="A10" s="19" t="n">
        <v>9</v>
      </c>
      <c r="B10" s="20" t="inlineStr">
        <is>
          <t>Verify that a routine record below the threshold does not notify the parent.</t>
        </is>
      </c>
      <c r="C10" s="10" t="inlineStr">
        <is>
          <t>Not-Executed</t>
        </is>
      </c>
      <c r="D10" s="21" t="inlineStr"/>
    </row>
    <row r="11">
      <c r="A11" s="19" t="n">
        <v>10</v>
      </c>
      <c r="B11" s="20" t="inlineStr">
        <is>
          <t>Verify that a student can view their own behaviour record.</t>
        </is>
      </c>
      <c r="C11" s="10" t="inlineStr">
        <is>
          <t>Not-Executed</t>
        </is>
      </c>
      <c r="D11" s="21" t="inlineStr"/>
    </row>
    <row r="12">
      <c r="A12" s="19" t="n">
        <v>11</v>
      </c>
      <c r="B12" s="20" t="inlineStr">
        <is>
          <t>Verify that a parent can view their own child's behaviour record only.</t>
        </is>
      </c>
      <c r="C12" s="10" t="inlineStr">
        <is>
          <t>Not-Executed</t>
        </is>
      </c>
      <c r="D12" s="21" t="inlineStr"/>
    </row>
    <row r="13">
      <c r="A13" s="19" t="n">
        <v>12</v>
      </c>
      <c r="B13" s="20" t="inlineStr">
        <is>
          <t>Verify that behaviour records are auditable and attributed to their author.</t>
        </is>
      </c>
      <c r="C13" s="10" t="inlineStr">
        <is>
          <t>Not-Executed</t>
        </is>
      </c>
      <c r="D13" s="21" t="inlineStr"/>
    </row>
  </sheetData>
  <mergeCells count="1">
    <mergeCell ref="F1:J1"/>
  </mergeCells>
  <conditionalFormatting sqref="C2:C13">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3" showDropDown="0" showInputMessage="0" showErrorMessage="0" allowBlank="1" type="list">
      <formula1>"Not-Executed,Passed,Failed,Blocker,N/A"</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12"/>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M21 Messaging</t>
        </is>
      </c>
    </row>
    <row r="2">
      <c r="A2" s="19" t="n">
        <v>1</v>
      </c>
      <c r="B2" s="20" t="inlineStr">
        <is>
          <t>Verify that a parent can start a direct message thread with their child's teacher.</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the teacher is notified of a new message.</t>
        </is>
      </c>
      <c r="C3" s="10" t="inlineStr">
        <is>
          <t>Not-Executed</t>
        </is>
      </c>
      <c r="D3" s="21" t="inlineStr"/>
      <c r="F3" s="10">
        <f>COUNTA(B2:B12)</f>
        <v/>
      </c>
      <c r="G3" s="10">
        <f>COUNTIF(C2:C12,"Passed")</f>
        <v/>
      </c>
      <c r="H3" s="10">
        <f>COUNTIF(C2:C12,"Failed")</f>
        <v/>
      </c>
      <c r="I3" s="10">
        <f>COUNTIF(C2:C12,"Blocker")</f>
        <v/>
      </c>
      <c r="J3" s="10">
        <f>COUNTIF(C2:C12,"Not-Executed")</f>
        <v/>
      </c>
    </row>
    <row r="4">
      <c r="A4" s="19" t="n">
        <v>3</v>
      </c>
      <c r="B4" s="20" t="inlineStr">
        <is>
          <t>Verify that a teacher can reply and the parent is notified.</t>
        </is>
      </c>
      <c r="C4" s="10" t="inlineStr">
        <is>
          <t>Not-Executed</t>
        </is>
      </c>
      <c r="D4" s="21" t="inlineStr"/>
    </row>
    <row r="5">
      <c r="A5" s="19" t="n">
        <v>4</v>
      </c>
      <c r="B5" s="20" t="inlineStr">
        <is>
          <t>Verify that the conversation remains threaded and correctly ordered.</t>
        </is>
      </c>
      <c r="C5" s="10" t="inlineStr">
        <is>
          <t>Not-Executed</t>
        </is>
      </c>
      <c r="D5" s="21" t="inlineStr"/>
    </row>
    <row r="6">
      <c r="A6" s="19" t="n">
        <v>5</v>
      </c>
      <c r="B6" s="20" t="inlineStr">
        <is>
          <t>Verify that full history is preserved and searchable.</t>
        </is>
      </c>
      <c r="C6" s="10" t="inlineStr">
        <is>
          <t>Not-Executed</t>
        </is>
      </c>
      <c r="D6" s="21" t="inlineStr"/>
    </row>
    <row r="7">
      <c r="A7" s="19" t="n">
        <v>6</v>
      </c>
      <c r="B7" s="20" t="inlineStr">
        <is>
          <t>Verify that a parent can only message staff linked to their own child.</t>
        </is>
      </c>
      <c r="C7" s="10" t="inlineStr">
        <is>
          <t>Not-Executed</t>
        </is>
      </c>
      <c r="D7" s="21" t="inlineStr"/>
    </row>
    <row r="8">
      <c r="A8" s="19" t="n">
        <v>7</v>
      </c>
      <c r="B8" s="20" t="inlineStr">
        <is>
          <t>Verify that a parent cannot message a teacher unrelated to their child.</t>
        </is>
      </c>
      <c r="C8" s="10" t="inlineStr">
        <is>
          <t>Not-Executed</t>
        </is>
      </c>
      <c r="D8" s="21" t="inlineStr"/>
    </row>
    <row r="9">
      <c r="A9" s="19" t="n">
        <v>8</v>
      </c>
      <c r="B9" s="20" t="inlineStr">
        <is>
          <t>Verify that admin oversight shows all threads read-only.</t>
        </is>
      </c>
      <c r="C9" s="10" t="inlineStr">
        <is>
          <t>Not-Executed</t>
        </is>
      </c>
      <c r="D9" s="21" t="inlineStr"/>
    </row>
    <row r="10">
      <c r="A10" s="19" t="n">
        <v>9</v>
      </c>
      <c r="B10" s="20" t="inlineStr">
        <is>
          <t>Verify that the admin is never injected into a thread by viewing it.</t>
        </is>
      </c>
      <c r="C10" s="10" t="inlineStr">
        <is>
          <t>Not-Executed</t>
        </is>
      </c>
      <c r="D10" s="21" t="inlineStr"/>
    </row>
    <row r="11">
      <c r="A11" s="19" t="n">
        <v>10</v>
      </c>
      <c r="B11" s="20" t="inlineStr">
        <is>
          <t>Verify that messaging is distinct from the teacher-initiated diary.</t>
        </is>
      </c>
      <c r="C11" s="10" t="inlineStr">
        <is>
          <t>Not-Executed</t>
        </is>
      </c>
      <c r="D11" s="21" t="inlineStr"/>
    </row>
    <row r="12">
      <c r="A12" s="19" t="n">
        <v>11</v>
      </c>
      <c r="B12" s="20" t="inlineStr">
        <is>
          <t>Verify that a notification fires on each new message.</t>
        </is>
      </c>
      <c r="C12" s="10" t="inlineStr">
        <is>
          <t>Not-Executed</t>
        </is>
      </c>
      <c r="D12" s="21" t="inlineStr"/>
    </row>
  </sheetData>
  <mergeCells count="1">
    <mergeCell ref="F1:J1"/>
  </mergeCells>
  <conditionalFormatting sqref="C2:C12">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2" showDropDown="0" showInputMessage="0" showErrorMessage="0" allowBlank="1" type="list">
      <formula1>"Not-Executed,Passed,Failed,Blocker,N/A"</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8"/>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M22 Front Desk</t>
        </is>
      </c>
    </row>
    <row r="2">
      <c r="A2" s="19" t="n">
        <v>1</v>
      </c>
      <c r="B2" s="20" t="inlineStr">
        <is>
          <t>Verify that a tour request submitted on the public site requires no account.</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a tour request lands in Front Desk with a new-lead badge.</t>
        </is>
      </c>
      <c r="C3" s="10" t="inlineStr">
        <is>
          <t>Not-Executed</t>
        </is>
      </c>
      <c r="D3" s="21" t="inlineStr"/>
      <c r="F3" s="10">
        <f>COUNTA(B2:B18)</f>
        <v/>
      </c>
      <c r="G3" s="10">
        <f>COUNTIF(C2:C18,"Passed")</f>
        <v/>
      </c>
      <c r="H3" s="10">
        <f>COUNTIF(C2:C18,"Failed")</f>
        <v/>
      </c>
      <c r="I3" s="10">
        <f>COUNTIF(C2:C18,"Blocker")</f>
        <v/>
      </c>
      <c r="J3" s="10">
        <f>COUNTIF(C2:C18,"Not-Executed")</f>
        <v/>
      </c>
    </row>
    <row r="4">
      <c r="A4" s="19" t="n">
        <v>3</v>
      </c>
      <c r="B4" s="20" t="inlineStr">
        <is>
          <t>Verify that the badge counts only unworked tours and career leads.</t>
        </is>
      </c>
      <c r="C4" s="10" t="inlineStr">
        <is>
          <t>Not-Executed</t>
        </is>
      </c>
      <c r="D4" s="21" t="inlineStr"/>
    </row>
    <row r="5">
      <c r="A5" s="19" t="n">
        <v>4</v>
      </c>
      <c r="B5" s="20" t="inlineStr">
        <is>
          <t>Verify that a tour can move from Requested to Confirmed with a date and time.</t>
        </is>
      </c>
      <c r="C5" s="10" t="inlineStr">
        <is>
          <t>Not-Executed</t>
        </is>
      </c>
      <c r="D5" s="21" t="inlineStr"/>
    </row>
    <row r="6">
      <c r="A6" s="19" t="n">
        <v>5</v>
      </c>
      <c r="B6" s="20" t="inlineStr">
        <is>
          <t>Verify that confirming a tour notifies the family with the date and time.</t>
        </is>
      </c>
      <c r="C6" s="10" t="inlineStr">
        <is>
          <t>Not-Executed</t>
        </is>
      </c>
      <c r="D6" s="21" t="inlineStr"/>
    </row>
    <row r="7">
      <c r="A7" s="19" t="n">
        <v>6</v>
      </c>
      <c r="B7" s="20" t="inlineStr">
        <is>
          <t>Verify that a tour can be marked Completed or Cancelled.</t>
        </is>
      </c>
      <c r="C7" s="10" t="inlineStr">
        <is>
          <t>Not-Executed</t>
        </is>
      </c>
      <c r="D7" s="21" t="inlineStr"/>
    </row>
    <row r="8">
      <c r="A8" s="19" t="n">
        <v>7</v>
      </c>
      <c r="B8" s="20" t="inlineStr">
        <is>
          <t>Verify that each status change is stamped with the actor and time.</t>
        </is>
      </c>
      <c r="C8" s="10" t="inlineStr">
        <is>
          <t>Not-Executed</t>
        </is>
      </c>
      <c r="D8" s="21" t="inlineStr"/>
    </row>
    <row r="9">
      <c r="A9" s="19" t="n">
        <v>8</v>
      </c>
      <c r="B9" s="20" t="inlineStr">
        <is>
          <t>Verify that a completed tour can be converted into an admission application.</t>
        </is>
      </c>
      <c r="C9" s="10" t="inlineStr">
        <is>
          <t>Not-Executed</t>
        </is>
      </c>
      <c r="D9" s="21" t="inlineStr"/>
    </row>
    <row r="10">
      <c r="A10" s="19" t="n">
        <v>9</v>
      </c>
      <c r="B10" s="20" t="inlineStr">
        <is>
          <t>Verify that conversion pre-fills the family's details with no re-keying.</t>
        </is>
      </c>
      <c r="C10" s="10" t="inlineStr">
        <is>
          <t>Not-Executed</t>
        </is>
      </c>
      <c r="D10" s="21" t="inlineStr"/>
    </row>
    <row r="11">
      <c r="A11" s="19" t="n">
        <v>10</v>
      </c>
      <c r="B11" s="20" t="inlineStr">
        <is>
          <t>Verify that the converted application links back to the originating tour.</t>
        </is>
      </c>
      <c r="C11" s="10" t="inlineStr">
        <is>
          <t>Not-Executed</t>
        </is>
      </c>
      <c r="D11" s="21" t="inlineStr"/>
    </row>
    <row r="12">
      <c r="A12" s="19" t="n">
        <v>11</v>
      </c>
      <c r="B12" s="20" t="inlineStr">
        <is>
          <t>Verify that a career enquiry captures the role interest and CV attachment.</t>
        </is>
      </c>
      <c r="C12" s="10" t="inlineStr">
        <is>
          <t>Not-Executed</t>
        </is>
      </c>
      <c r="D12" s="21" t="inlineStr"/>
    </row>
    <row r="13">
      <c r="A13" s="19" t="n">
        <v>12</v>
      </c>
      <c r="B13" s="20" t="inlineStr">
        <is>
          <t>Verify that a career lead can be shortlisted or declined.</t>
        </is>
      </c>
      <c r="C13" s="10" t="inlineStr">
        <is>
          <t>Not-Executed</t>
        </is>
      </c>
      <c r="D13" s="21" t="inlineStr"/>
    </row>
    <row r="14">
      <c r="A14" s="19" t="n">
        <v>13</v>
      </c>
      <c r="B14" s="20" t="inlineStr">
        <is>
          <t>Verify that a shortlisted candidate can be hired into Staff.</t>
        </is>
      </c>
      <c r="C14" s="10" t="inlineStr">
        <is>
          <t>Not-Executed</t>
        </is>
      </c>
      <c r="D14" s="21" t="inlineStr"/>
    </row>
    <row r="15">
      <c r="A15" s="19" t="n">
        <v>14</v>
      </c>
      <c r="B15" s="20" t="inlineStr">
        <is>
          <t>Verify that a lead submitted on one school's site never appears in another's Front Desk.</t>
        </is>
      </c>
      <c r="C15" s="10" t="inlineStr">
        <is>
          <t>Not-Executed</t>
        </is>
      </c>
      <c r="D15" s="21" t="inlineStr"/>
    </row>
    <row r="16">
      <c r="A16" s="19" t="n">
        <v>15</v>
      </c>
      <c r="B16" s="20" t="inlineStr">
        <is>
          <t>Verify that cancelling a lead sets a status rather than hard-deleting it.</t>
        </is>
      </c>
      <c r="C16" s="10" t="inlineStr">
        <is>
          <t>Not-Executed</t>
        </is>
      </c>
      <c r="D16" s="21" t="inlineStr"/>
    </row>
    <row r="17">
      <c r="A17" s="19" t="n">
        <v>16</v>
      </c>
      <c r="B17" s="20" t="inlineStr">
        <is>
          <t>Verify that the stat cards reconcile to the underlying tour and career tables.</t>
        </is>
      </c>
      <c r="C17" s="10" t="inlineStr">
        <is>
          <t>Not-Executed</t>
        </is>
      </c>
      <c r="D17" s="21" t="inlineStr"/>
    </row>
    <row r="18">
      <c r="A18" s="19" t="n">
        <v>17</v>
      </c>
      <c r="B18" s="20" t="inlineStr">
        <is>
          <t>Verify that an empty Front Desk shows a no-requests state rather than a blank table.</t>
        </is>
      </c>
      <c r="C18" s="10" t="inlineStr">
        <is>
          <t>Not-Executed</t>
        </is>
      </c>
      <c r="D18" s="21" t="inlineStr"/>
    </row>
  </sheetData>
  <mergeCells count="1">
    <mergeCell ref="F1:J1"/>
  </mergeCells>
  <conditionalFormatting sqref="C2:C18">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8" showDropDown="0" showInputMessage="0" showErrorMessage="0" allowBlank="1" type="list">
      <formula1>"Not-Executed,Passed,Failed,Blocker,N/A"</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38"/>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M23 Operations Hub</t>
        </is>
      </c>
    </row>
    <row r="2">
      <c r="A2" s="19" t="n">
        <v>1</v>
      </c>
      <c r="B2" s="20" t="inlineStr">
        <is>
          <t>Verify that a visitor can be checked in with name, relation, host, purpose and vehicle.</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the To See picker lists only active staff of this school.</t>
        </is>
      </c>
      <c r="C3" s="10" t="inlineStr">
        <is>
          <t>Not-Executed</t>
        </is>
      </c>
      <c r="D3" s="21" t="inlineStr"/>
      <c r="F3" s="10">
        <f>COUNTA(B2:B38)</f>
        <v/>
      </c>
      <c r="G3" s="10">
        <f>COUNTIF(C2:C38,"Passed")</f>
        <v/>
      </c>
      <c r="H3" s="10">
        <f>COUNTIF(C2:C38,"Failed")</f>
        <v/>
      </c>
      <c r="I3" s="10">
        <f>COUNTIF(C2:C38,"Blocker")</f>
        <v/>
      </c>
      <c r="J3" s="10">
        <f>COUNTIF(C2:C38,"Not-Executed")</f>
        <v/>
      </c>
    </row>
    <row r="4">
      <c r="A4" s="19" t="n">
        <v>3</v>
      </c>
      <c r="B4" s="20" t="inlineStr">
        <is>
          <t>Verify that a visitor check-in is stamped with the date and time.</t>
        </is>
      </c>
      <c r="C4" s="10" t="inlineStr">
        <is>
          <t>Not-Executed</t>
        </is>
      </c>
      <c r="D4" s="21" t="inlineStr"/>
    </row>
    <row r="5">
      <c r="A5" s="19" t="n">
        <v>4</v>
      </c>
      <c r="B5" s="20" t="inlineStr">
        <is>
          <t>Verify that the currently-on-premises count equals visitors with no check-out.</t>
        </is>
      </c>
      <c r="C5" s="10" t="inlineStr">
        <is>
          <t>Not-Executed</t>
        </is>
      </c>
      <c r="D5" s="21" t="inlineStr"/>
    </row>
    <row r="6">
      <c r="A6" s="19" t="n">
        <v>5</v>
      </c>
      <c r="B6" s="20" t="inlineStr">
        <is>
          <t>Verify that a visitor can be checked out in a single action from the row.</t>
        </is>
      </c>
      <c r="C6" s="10" t="inlineStr">
        <is>
          <t>Not-Executed</t>
        </is>
      </c>
      <c r="D6" s="21" t="inlineStr"/>
    </row>
    <row r="7">
      <c r="A7" s="19" t="n">
        <v>6</v>
      </c>
      <c r="B7" s="20" t="inlineStr">
        <is>
          <t>Verify that the today counter counts only check-ins dated today.</t>
        </is>
      </c>
      <c r="C7" s="10" t="inlineStr">
        <is>
          <t>Not-Executed</t>
        </is>
      </c>
      <c r="D7" s="21" t="inlineStr"/>
    </row>
    <row r="8">
      <c r="A8" s="19" t="n">
        <v>7</v>
      </c>
      <c r="B8" s="20" t="inlineStr">
        <is>
          <t>Verify that the visitor log is ordered with the newest check-in first.</t>
        </is>
      </c>
      <c r="C8" s="10" t="inlineStr">
        <is>
          <t>Not-Executed</t>
        </is>
      </c>
      <c r="D8" s="21" t="inlineStr"/>
    </row>
    <row r="9">
      <c r="A9" s="19" t="n">
        <v>8</v>
      </c>
      <c r="B9" s="20" t="inlineStr">
        <is>
          <t>Verify that a visitor entry cannot be edited or deleted after creation.</t>
        </is>
      </c>
      <c r="C9" s="10" t="inlineStr">
        <is>
          <t>Not-Executed</t>
        </is>
      </c>
      <c r="D9" s="21" t="inlineStr"/>
    </row>
    <row r="10">
      <c r="A10" s="19" t="n">
        <v>9</v>
      </c>
      <c r="B10" s="20" t="inlineStr">
        <is>
          <t>Verify that an un-checked-out visit from a prior day is flagged.</t>
        </is>
      </c>
      <c r="C10" s="10" t="inlineStr">
        <is>
          <t>Not-Executed</t>
        </is>
      </c>
      <c r="D10" s="21" t="inlineStr"/>
    </row>
    <row r="11">
      <c r="A11" s="19" t="n">
        <v>10</v>
      </c>
      <c r="B11" s="20" t="inlineStr">
        <is>
          <t>Verify that a book can be added to the library with a total copy count.</t>
        </is>
      </c>
      <c r="C11" s="10" t="inlineStr">
        <is>
          <t>Not-Executed</t>
        </is>
      </c>
      <c r="D11" s="21" t="inlineStr"/>
    </row>
    <row r="12">
      <c r="A12" s="19" t="n">
        <v>11</v>
      </c>
      <c r="B12" s="20" t="inlineStr">
        <is>
          <t>Verify that copies available equals total copies minus active loans.</t>
        </is>
      </c>
      <c r="C12" s="10" t="inlineStr">
        <is>
          <t>Not-Executed</t>
        </is>
      </c>
      <c r="D12" s="21" t="inlineStr"/>
    </row>
    <row r="13">
      <c r="A13" s="19" t="n">
        <v>12</v>
      </c>
      <c r="B13" s="20" t="inlineStr">
        <is>
          <t>Verify that issuing is blocked when no copy is available.</t>
        </is>
      </c>
      <c r="C13" s="10" t="inlineStr">
        <is>
          <t>Not-Executed</t>
        </is>
      </c>
      <c r="D13" s="21" t="inlineStr"/>
    </row>
    <row r="14">
      <c r="A14" s="19" t="n">
        <v>13</v>
      </c>
      <c r="B14" s="20" t="inlineStr">
        <is>
          <t>Verify that issuing a copy decrements availability and creates an active loan.</t>
        </is>
      </c>
      <c r="C14" s="10" t="inlineStr">
        <is>
          <t>Not-Executed</t>
        </is>
      </c>
      <c r="D14" s="21" t="inlineStr"/>
    </row>
    <row r="15">
      <c r="A15" s="19" t="n">
        <v>14</v>
      </c>
      <c r="B15" s="20" t="inlineStr">
        <is>
          <t>Verify that returning a copy increments availability and closes the loan.</t>
        </is>
      </c>
      <c r="C15" s="10" t="inlineStr">
        <is>
          <t>Not-Executed</t>
        </is>
      </c>
      <c r="D15" s="21" t="inlineStr"/>
    </row>
    <row r="16">
      <c r="A16" s="19" t="n">
        <v>15</v>
      </c>
      <c r="B16" s="20" t="inlineStr">
        <is>
          <t>Verify that an active loan past its due date appears in the Overdue tab.</t>
        </is>
      </c>
      <c r="C16" s="10" t="inlineStr">
        <is>
          <t>Not-Executed</t>
        </is>
      </c>
      <c r="D16" s="21" t="inlineStr"/>
    </row>
    <row r="17">
      <c r="A17" s="19" t="n">
        <v>16</v>
      </c>
      <c r="B17" s="20" t="inlineStr">
        <is>
          <t>Verify that the overdue count on the dashboard matches the Overdue tab.</t>
        </is>
      </c>
      <c r="C17" s="10" t="inlineStr">
        <is>
          <t>Not-Executed</t>
        </is>
      </c>
      <c r="D17" s="21" t="inlineStr"/>
    </row>
    <row r="18">
      <c r="A18" s="19" t="n">
        <v>17</v>
      </c>
      <c r="B18" s="20" t="inlineStr">
        <is>
          <t>Verify that a book with copies on loan cannot be deleted.</t>
        </is>
      </c>
      <c r="C18" s="10" t="inlineStr">
        <is>
          <t>Not-Executed</t>
        </is>
      </c>
      <c r="D18" s="21" t="inlineStr"/>
    </row>
    <row r="19">
      <c r="A19" s="19" t="n">
        <v>18</v>
      </c>
      <c r="B19" s="20" t="inlineStr">
        <is>
          <t>Verify that a student sees only their own library loans and due dates.</t>
        </is>
      </c>
      <c r="C19" s="10" t="inlineStr">
        <is>
          <t>Not-Executed</t>
        </is>
      </c>
      <c r="D19" s="21" t="inlineStr"/>
    </row>
    <row r="20">
      <c r="A20" s="19" t="n">
        <v>19</v>
      </c>
      <c r="B20" s="20" t="inlineStr">
        <is>
          <t>Verify that an inventory item can be added with category, quantity, unit cost, minimum stock and supplier.</t>
        </is>
      </c>
      <c r="C20" s="10" t="inlineStr">
        <is>
          <t>Not-Executed</t>
        </is>
      </c>
      <c r="D20" s="21" t="inlineStr"/>
    </row>
    <row r="21">
      <c r="A21" s="19" t="n">
        <v>20</v>
      </c>
      <c r="B21" s="20" t="inlineStr">
        <is>
          <t>Verify that filtering by category shows only that category's items.</t>
        </is>
      </c>
      <c r="C21" s="10" t="inlineStr">
        <is>
          <t>Not-Executed</t>
        </is>
      </c>
      <c r="D21" s="21" t="inlineStr"/>
    </row>
    <row r="22">
      <c r="A22" s="19" t="n">
        <v>21</v>
      </c>
      <c r="B22" s="20" t="inlineStr">
        <is>
          <t>Verify that an item below its minimum stock is badged LOW.</t>
        </is>
      </c>
      <c r="C22" s="10" t="inlineStr">
        <is>
          <t>Not-Executed</t>
        </is>
      </c>
      <c r="D22" s="21" t="inlineStr"/>
    </row>
    <row r="23">
      <c r="A23" s="19" t="n">
        <v>22</v>
      </c>
      <c r="B23" s="20" t="inlineStr">
        <is>
          <t>Verify that the low-stock count matches the stat card and the dashboard chip.</t>
        </is>
      </c>
      <c r="C23" s="10" t="inlineStr">
        <is>
          <t>Not-Executed</t>
        </is>
      </c>
      <c r="D23" s="21" t="inlineStr"/>
    </row>
    <row r="24">
      <c r="A24" s="19" t="n">
        <v>23</v>
      </c>
      <c r="B24" s="20" t="inlineStr">
        <is>
          <t>Verify that total stock value equals the sum of quantity times unit cost.</t>
        </is>
      </c>
      <c r="C24" s="10" t="inlineStr">
        <is>
          <t>Not-Executed</t>
        </is>
      </c>
      <c r="D24" s="21" t="inlineStr"/>
    </row>
    <row r="25">
      <c r="A25" s="19" t="n">
        <v>24</v>
      </c>
      <c r="B25" s="20" t="inlineStr">
        <is>
          <t>Verify that issuing more than the available quantity is blocked.</t>
        </is>
      </c>
      <c r="C25" s="10" t="inlineStr">
        <is>
          <t>Not-Executed</t>
        </is>
      </c>
      <c r="D25" s="21" t="inlineStr"/>
    </row>
    <row r="26">
      <c r="A26" s="19" t="n">
        <v>25</v>
      </c>
      <c r="B26" s="20" t="inlineStr">
        <is>
          <t>Verify that restocking increases the quantity and logs the movement.</t>
        </is>
      </c>
      <c r="C26" s="10" t="inlineStr">
        <is>
          <t>Not-Executed</t>
        </is>
      </c>
      <c r="D26" s="21" t="inlineStr"/>
    </row>
    <row r="27">
      <c r="A27" s="19" t="n">
        <v>26</v>
      </c>
      <c r="B27" s="20" t="inlineStr">
        <is>
          <t>Verify that a write-off is recorded as a loss distinct from an issue.</t>
        </is>
      </c>
      <c r="C27" s="10" t="inlineStr">
        <is>
          <t>Not-Executed</t>
        </is>
      </c>
      <c r="D27" s="21" t="inlineStr"/>
    </row>
    <row r="28">
      <c r="A28" s="19" t="n">
        <v>27</v>
      </c>
      <c r="B28" s="20" t="inlineStr">
        <is>
          <t>Verify that every movement appears in the item history with actor and reason.</t>
        </is>
      </c>
      <c r="C28" s="10" t="inlineStr">
        <is>
          <t>Not-Executed</t>
        </is>
      </c>
      <c r="D28" s="21" t="inlineStr"/>
    </row>
    <row r="29">
      <c r="A29" s="19" t="n">
        <v>28</v>
      </c>
      <c r="B29" s="20" t="inlineStr">
        <is>
          <t>Verify that quantity cannot be changed outside a logged movement.</t>
        </is>
      </c>
      <c r="C29" s="10" t="inlineStr">
        <is>
          <t>Not-Executed</t>
        </is>
      </c>
      <c r="D29" s="21" t="inlineStr"/>
    </row>
    <row r="30">
      <c r="A30" s="19" t="n">
        <v>29</v>
      </c>
      <c r="B30" s="20" t="inlineStr">
        <is>
          <t>Verify that the purchase order export groups items at or below minimum by supplier.</t>
        </is>
      </c>
      <c r="C30" s="10" t="inlineStr">
        <is>
          <t>Not-Executed</t>
        </is>
      </c>
      <c r="D30" s="21" t="inlineStr"/>
    </row>
    <row r="31">
      <c r="A31" s="19" t="n">
        <v>30</v>
      </c>
      <c r="B31" s="20" t="inlineStr">
        <is>
          <t>Verify that an activity can be created with a fee and an instructor cost per student.</t>
        </is>
      </c>
      <c r="C31" s="10" t="inlineStr">
        <is>
          <t>Not-Executed</t>
        </is>
      </c>
      <c r="D31" s="21" t="inlineStr"/>
    </row>
    <row r="32">
      <c r="A32" s="19" t="n">
        <v>31</v>
      </c>
      <c r="B32" s="20" t="inlineStr">
        <is>
          <t>Verify that students can be enrolled into an activity.</t>
        </is>
      </c>
      <c r="C32" s="10" t="inlineStr">
        <is>
          <t>Not-Executed</t>
        </is>
      </c>
      <c r="D32" s="21" t="inlineStr"/>
    </row>
    <row r="33">
      <c r="A33" s="19" t="n">
        <v>32</v>
      </c>
      <c r="B33" s="20" t="inlineStr">
        <is>
          <t>Verify that revenue equals enrolled count times fee per student.</t>
        </is>
      </c>
      <c r="C33" s="10" t="inlineStr">
        <is>
          <t>Not-Executed</t>
        </is>
      </c>
      <c r="D33" s="21" t="inlineStr"/>
    </row>
    <row r="34">
      <c r="A34" s="19" t="n">
        <v>33</v>
      </c>
      <c r="B34" s="20" t="inlineStr">
        <is>
          <t>Verify that net equals revenue minus cost and header totals equal the row sums.</t>
        </is>
      </c>
      <c r="C34" s="10" t="inlineStr">
        <is>
          <t>Not-Executed</t>
        </is>
      </c>
      <c r="D34" s="21" t="inlineStr"/>
    </row>
    <row r="35">
      <c r="A35" s="19" t="n">
        <v>34</v>
      </c>
      <c r="B35" s="20" t="inlineStr">
        <is>
          <t>Verify that a loss-making activity is distinguished by more than the sign alone.</t>
        </is>
      </c>
      <c r="C35" s="10" t="inlineStr">
        <is>
          <t>Not-Executed</t>
        </is>
      </c>
      <c r="D35" s="21" t="inlineStr"/>
    </row>
    <row r="36">
      <c r="A36" s="19" t="n">
        <v>35</v>
      </c>
      <c r="B36" s="20" t="inlineStr">
        <is>
          <t>Verify that an activity with one to four enrolments raises a viability insight.</t>
        </is>
      </c>
      <c r="C36" s="10" t="inlineStr">
        <is>
          <t>Not-Executed</t>
        </is>
      </c>
      <c r="D36" s="21" t="inlineStr"/>
    </row>
    <row r="37">
      <c r="A37" s="19" t="n">
        <v>36</v>
      </c>
      <c r="B37" s="20" t="inlineStr">
        <is>
          <t>Verify that an activity fee appears as its own itemised charge on the student ledger.</t>
        </is>
      </c>
      <c r="C37" s="10" t="inlineStr">
        <is>
          <t>Not-Executed</t>
        </is>
      </c>
      <c r="D37" s="21" t="inlineStr"/>
    </row>
    <row r="38">
      <c r="A38" s="19" t="n">
        <v>37</v>
      </c>
      <c r="B38" s="20" t="inlineStr">
        <is>
          <t>Verify that unenrolling a billed student raises a credit line rather than deleting the charge.</t>
        </is>
      </c>
      <c r="C38" s="10" t="inlineStr">
        <is>
          <t>Not-Executed</t>
        </is>
      </c>
      <c r="D38" s="21" t="inlineStr"/>
    </row>
  </sheetData>
  <mergeCells count="1">
    <mergeCell ref="F1:J1"/>
  </mergeCells>
  <conditionalFormatting sqref="C2:C38">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38" showDropDown="0" showInputMessage="0" showErrorMessage="0" allowBlank="1" type="list">
      <formula1>"Not-Executed,Passed,Failed,Blocker,N/A"</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17"/>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M24 School Store</t>
        </is>
      </c>
    </row>
    <row r="2">
      <c r="A2" s="19" t="n">
        <v>1</v>
      </c>
      <c r="B2" s="20" t="inlineStr">
        <is>
          <t>Verify that an item can be created with cost price, selling price, unit and stock.</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margin equals selling price minus cost price.</t>
        </is>
      </c>
      <c r="C3" s="10" t="inlineStr">
        <is>
          <t>Not-Executed</t>
        </is>
      </c>
      <c r="D3" s="21" t="inlineStr"/>
      <c r="F3" s="10">
        <f>COUNTA(B2:B17)</f>
        <v/>
      </c>
      <c r="G3" s="10">
        <f>COUNTIF(C2:C17,"Passed")</f>
        <v/>
      </c>
      <c r="H3" s="10">
        <f>COUNTIF(C2:C17,"Failed")</f>
        <v/>
      </c>
      <c r="I3" s="10">
        <f>COUNTIF(C2:C17,"Blocker")</f>
        <v/>
      </c>
      <c r="J3" s="10">
        <f>COUNTIF(C2:C17,"Not-Executed")</f>
        <v/>
      </c>
    </row>
    <row r="4">
      <c r="A4" s="19" t="n">
        <v>3</v>
      </c>
      <c r="B4" s="20" t="inlineStr">
        <is>
          <t>Verify that margin percentage equals margin divided by selling price, rounded.</t>
        </is>
      </c>
      <c r="C4" s="10" t="inlineStr">
        <is>
          <t>Not-Executed</t>
        </is>
      </c>
      <c r="D4" s="21" t="inlineStr"/>
    </row>
    <row r="5">
      <c r="A5" s="19" t="n">
        <v>4</v>
      </c>
      <c r="B5" s="20" t="inlineStr">
        <is>
          <t>Verify that a zero selling price shows a margin of nil rather than a divide error.</t>
        </is>
      </c>
      <c r="C5" s="10" t="inlineStr">
        <is>
          <t>Not-Executed</t>
        </is>
      </c>
      <c r="D5" s="21" t="inlineStr"/>
    </row>
    <row r="6">
      <c r="A6" s="19" t="n">
        <v>5</v>
      </c>
      <c r="B6" s="20" t="inlineStr">
        <is>
          <t>Verify that margin banding is 30 percent or more good, 15 to 29 fair, below 15 warning.</t>
        </is>
      </c>
      <c r="C6" s="10" t="inlineStr">
        <is>
          <t>Not-Executed</t>
        </is>
      </c>
      <c r="D6" s="21" t="inlineStr"/>
    </row>
    <row r="7">
      <c r="A7" s="19" t="n">
        <v>6</v>
      </c>
      <c r="B7" s="20" t="inlineStr">
        <is>
          <t>Verify that margin banding is not communicated by colour alone.</t>
        </is>
      </c>
      <c r="C7" s="10" t="inlineStr">
        <is>
          <t>Not-Executed</t>
        </is>
      </c>
      <c r="D7" s="21" t="inlineStr"/>
    </row>
    <row r="8">
      <c r="A8" s="19" t="n">
        <v>7</v>
      </c>
      <c r="B8" s="20" t="inlineStr">
        <is>
          <t>Verify that a student purchase can be recorded with item and quantity.</t>
        </is>
      </c>
      <c r="C8" s="10" t="inlineStr">
        <is>
          <t>Not-Executed</t>
        </is>
      </c>
      <c r="D8" s="21" t="inlineStr"/>
    </row>
    <row r="9">
      <c r="A9" s="19" t="n">
        <v>8</v>
      </c>
      <c r="B9" s="20" t="inlineStr">
        <is>
          <t>Verify that the purchase posts to the student's ledger as its own dated charge.</t>
        </is>
      </c>
      <c r="C9" s="10" t="inlineStr">
        <is>
          <t>Not-Executed</t>
        </is>
      </c>
      <c r="D9" s="21" t="inlineStr"/>
    </row>
    <row r="10">
      <c r="A10" s="19" t="n">
        <v>9</v>
      </c>
      <c r="B10" s="20" t="inlineStr">
        <is>
          <t>Verify that units sold sums quantity rather than counting purchase records.</t>
        </is>
      </c>
      <c r="C10" s="10" t="inlineStr">
        <is>
          <t>Not-Executed</t>
        </is>
      </c>
      <c r="D10" s="21" t="inlineStr"/>
    </row>
    <row r="11">
      <c r="A11" s="19" t="n">
        <v>10</v>
      </c>
      <c r="B11" s="20" t="inlineStr">
        <is>
          <t>Verify that stock value is shown at cost price, not selling price.</t>
        </is>
      </c>
      <c r="C11" s="10" t="inlineStr">
        <is>
          <t>Not-Executed</t>
        </is>
      </c>
      <c r="D11" s="21" t="inlineStr"/>
    </row>
    <row r="12">
      <c r="A12" s="19" t="n">
        <v>11</v>
      </c>
      <c r="B12" s="20" t="inlineStr">
        <is>
          <t>Verify that a deactivated item disappears from the catalogue.</t>
        </is>
      </c>
      <c r="C12" s="10" t="inlineStr">
        <is>
          <t>Not-Executed</t>
        </is>
      </c>
      <c r="D12" s="21" t="inlineStr"/>
    </row>
    <row r="13">
      <c r="A13" s="19" t="n">
        <v>12</v>
      </c>
      <c r="B13" s="20" t="inlineStr">
        <is>
          <t>Verify that a deactivated item still appears on past purchases and statements.</t>
        </is>
      </c>
      <c r="C13" s="10" t="inlineStr">
        <is>
          <t>Not-Executed</t>
        </is>
      </c>
      <c r="D13" s="21" t="inlineStr"/>
    </row>
    <row r="14">
      <c r="A14" s="19" t="n">
        <v>13</v>
      </c>
      <c r="B14" s="20" t="inlineStr">
        <is>
          <t>Verify that cost price is never visible to a parent in any view, statement or receipt.</t>
        </is>
      </c>
      <c r="C14" s="10" t="inlineStr">
        <is>
          <t>Not-Executed</t>
        </is>
      </c>
      <c r="D14" s="21" t="inlineStr"/>
    </row>
    <row r="15">
      <c r="A15" s="19" t="n">
        <v>14</v>
      </c>
      <c r="B15" s="20" t="inlineStr">
        <is>
          <t>Verify that reversing a purchase raises a credit line rather than deleting the charge.</t>
        </is>
      </c>
      <c r="C15" s="10" t="inlineStr">
        <is>
          <t>Not-Executed</t>
        </is>
      </c>
      <c r="D15" s="21" t="inlineStr"/>
    </row>
    <row r="16">
      <c r="A16" s="19" t="n">
        <v>15</v>
      </c>
      <c r="B16" s="20" t="inlineStr">
        <is>
          <t>Verify that store revenue and cost of goods appear in the cost-centre overview.</t>
        </is>
      </c>
      <c r="C16" s="10" t="inlineStr">
        <is>
          <t>Not-Executed</t>
        </is>
      </c>
      <c r="D16" s="21" t="inlineStr"/>
    </row>
    <row r="17">
      <c r="A17" s="19" t="n">
        <v>16</v>
      </c>
      <c r="B17" s="20" t="inlineStr">
        <is>
          <t>Verify that store item changes and purchases write audit log entries.</t>
        </is>
      </c>
      <c r="C17" s="10" t="inlineStr">
        <is>
          <t>Not-Executed</t>
        </is>
      </c>
      <c r="D17" s="21" t="inlineStr"/>
    </row>
  </sheetData>
  <mergeCells count="1">
    <mergeCell ref="F1:J1"/>
  </mergeCells>
  <conditionalFormatting sqref="C2:C17">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7" showDropDown="0" showInputMessage="0" showErrorMessage="0" allowBlank="1" type="list">
      <formula1>"Not-Executed,Passed,Failed,Blocker,N/A"</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20"/>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M25 Settings &amp; Branding</t>
        </is>
      </c>
    </row>
    <row r="2">
      <c r="A2" s="19" t="n">
        <v>1</v>
      </c>
      <c r="B2" s="20" t="inlineStr">
        <is>
          <t>Verify that a school logo can be uploaded and appears in the navigation.</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the logo appears on report cards, statements and receipts.</t>
        </is>
      </c>
      <c r="C3" s="10" t="inlineStr">
        <is>
          <t>Not-Executed</t>
        </is>
      </c>
      <c r="D3" s="21" t="inlineStr"/>
      <c r="F3" s="10">
        <f>COUNTA(B2:B20)</f>
        <v/>
      </c>
      <c r="G3" s="10">
        <f>COUNTIF(C2:C20,"Passed")</f>
        <v/>
      </c>
      <c r="H3" s="10">
        <f>COUNTIF(C2:C20,"Failed")</f>
        <v/>
      </c>
      <c r="I3" s="10">
        <f>COUNTIF(C2:C20,"Blocker")</f>
        <v/>
      </c>
      <c r="J3" s="10">
        <f>COUNTIF(C2:C20,"Not-Executed")</f>
        <v/>
      </c>
    </row>
    <row r="4">
      <c r="A4" s="19" t="n">
        <v>3</v>
      </c>
      <c r="B4" s="20" t="inlineStr">
        <is>
          <t>Verify that an oversized or wrong-format logo is rejected with a clear message.</t>
        </is>
      </c>
      <c r="C4" s="10" t="inlineStr">
        <is>
          <t>Not-Executed</t>
        </is>
      </c>
      <c r="D4" s="21" t="inlineStr"/>
    </row>
    <row r="5">
      <c r="A5" s="19" t="n">
        <v>4</v>
      </c>
      <c r="B5" s="20" t="inlineStr">
        <is>
          <t>Verify that brand colours apply across the interface without a reload.</t>
        </is>
      </c>
      <c r="C5" s="10" t="inlineStr">
        <is>
          <t>Not-Executed</t>
        </is>
      </c>
      <c r="D5" s="21" t="inlineStr"/>
    </row>
    <row r="6">
      <c r="A6" s="19" t="n">
        <v>5</v>
      </c>
      <c r="B6" s="20" t="inlineStr">
        <is>
          <t>Verify that academic structure changes are reflected in the relevant modules.</t>
        </is>
      </c>
      <c r="C6" s="10" t="inlineStr">
        <is>
          <t>Not-Executed</t>
        </is>
      </c>
      <c r="D6" s="21" t="inlineStr"/>
    </row>
    <row r="7">
      <c r="A7" s="19" t="n">
        <v>6</v>
      </c>
      <c r="B7" s="20" t="inlineStr">
        <is>
          <t>Verify that term dates set here are the only source used by the calendar.</t>
        </is>
      </c>
      <c r="C7" s="10" t="inlineStr">
        <is>
          <t>Not-Executed</t>
        </is>
      </c>
      <c r="D7" s="21" t="inlineStr"/>
    </row>
    <row r="8">
      <c r="A8" s="19" t="n">
        <v>7</v>
      </c>
      <c r="B8" s="20" t="inlineStr">
        <is>
          <t>Verify that a new custom list entry is immediately selectable where it applies.</t>
        </is>
      </c>
      <c r="C8" s="10" t="inlineStr">
        <is>
          <t>Not-Executed</t>
        </is>
      </c>
      <c r="D8" s="21" t="inlineStr"/>
    </row>
    <row r="9">
      <c r="A9" s="19" t="n">
        <v>8</v>
      </c>
      <c r="B9" s="20" t="inlineStr">
        <is>
          <t>Verify that a custom role can be created with specific module permissions.</t>
        </is>
      </c>
      <c r="C9" s="10" t="inlineStr">
        <is>
          <t>Not-Executed</t>
        </is>
      </c>
      <c r="D9" s="21" t="inlineStr"/>
    </row>
    <row r="10">
      <c r="A10" s="19" t="n">
        <v>9</v>
      </c>
      <c r="B10" s="20" t="inlineStr">
        <is>
          <t>Verify that a user with a custom role sees exactly the permitted modules in the nav.</t>
        </is>
      </c>
      <c r="C10" s="10" t="inlineStr">
        <is>
          <t>Not-Executed</t>
        </is>
      </c>
      <c r="D10" s="21" t="inlineStr"/>
    </row>
    <row r="11">
      <c r="A11" s="19" t="n">
        <v>10</v>
      </c>
      <c r="B11" s="20" t="inlineStr">
        <is>
          <t>Verify that a custom role blocks deep links to unpermitted views.</t>
        </is>
      </c>
      <c r="C11" s="10" t="inlineStr">
        <is>
          <t>Not-Executed</t>
        </is>
      </c>
      <c r="D11" s="21" t="inlineStr"/>
    </row>
    <row r="12">
      <c r="A12" s="19" t="n">
        <v>11</v>
      </c>
      <c r="B12" s="20" t="inlineStr">
        <is>
          <t>Verify that payment gateway keys are masked after saving.</t>
        </is>
      </c>
      <c r="C12" s="10" t="inlineStr">
        <is>
          <t>Not-Executed</t>
        </is>
      </c>
      <c r="D12" s="21" t="inlineStr"/>
    </row>
    <row r="13">
      <c r="A13" s="19" t="n">
        <v>12</v>
      </c>
      <c r="B13" s="20" t="inlineStr">
        <is>
          <t>Verify that a gateway test connection reports the real success or error.</t>
        </is>
      </c>
      <c r="C13" s="10" t="inlineStr">
        <is>
          <t>Not-Executed</t>
        </is>
      </c>
      <c r="D13" s="21" t="inlineStr"/>
    </row>
    <row r="14">
      <c r="A14" s="19" t="n">
        <v>13</v>
      </c>
      <c r="B14" s="20" t="inlineStr">
        <is>
          <t>Verify that gateway secrets never appear in the audit log payload.</t>
        </is>
      </c>
      <c r="C14" s="10" t="inlineStr">
        <is>
          <t>Not-Executed</t>
        </is>
      </c>
      <c r="D14" s="21" t="inlineStr"/>
    </row>
    <row r="15">
      <c r="A15" s="19" t="n">
        <v>14</v>
      </c>
      <c r="B15" s="20" t="inlineStr">
        <is>
          <t>Verify that a data backup export produces a complete snapshot of this tenant only.</t>
        </is>
      </c>
      <c r="C15" s="10" t="inlineStr">
        <is>
          <t>Not-Executed</t>
        </is>
      </c>
      <c r="D15" s="21" t="inlineStr"/>
    </row>
    <row r="16">
      <c r="A16" s="19" t="n">
        <v>15</v>
      </c>
      <c r="B16" s="20" t="inlineStr">
        <is>
          <t>Verify that a restore requires explicit confirmation naming the school.</t>
        </is>
      </c>
      <c r="C16" s="10" t="inlineStr">
        <is>
          <t>Not-Executed</t>
        </is>
      </c>
      <c r="D16" s="21" t="inlineStr"/>
    </row>
    <row r="17">
      <c r="A17" s="19" t="n">
        <v>16</v>
      </c>
      <c r="B17" s="20" t="inlineStr">
        <is>
          <t>Verify that a restore is refused if the snapshot's school ID does not match the tenant.</t>
        </is>
      </c>
      <c r="C17" s="10" t="inlineStr">
        <is>
          <t>Not-Executed</t>
        </is>
      </c>
      <c r="D17" s="21" t="inlineStr"/>
    </row>
    <row r="18">
      <c r="A18" s="19" t="n">
        <v>17</v>
      </c>
      <c r="B18" s="20" t="inlineStr">
        <is>
          <t>Verify that a settings tab can be deep-linked directly from elsewhere in the app.</t>
        </is>
      </c>
      <c r="C18" s="10" t="inlineStr">
        <is>
          <t>Not-Executed</t>
        </is>
      </c>
      <c r="D18" s="21" t="inlineStr"/>
    </row>
    <row r="19">
      <c r="A19" s="19" t="n">
        <v>18</v>
      </c>
      <c r="B19" s="20" t="inlineStr">
        <is>
          <t>Verify that every settings change writes an audit entry with old and new values.</t>
        </is>
      </c>
      <c r="C19" s="10" t="inlineStr">
        <is>
          <t>Not-Executed</t>
        </is>
      </c>
      <c r="D19" s="21" t="inlineStr"/>
    </row>
    <row r="20">
      <c r="A20" s="19" t="n">
        <v>19</v>
      </c>
      <c r="B20" s="20" t="inlineStr">
        <is>
          <t>Verify that a branch inherits or overrides group branding as configured.</t>
        </is>
      </c>
      <c r="C20" s="10" t="inlineStr">
        <is>
          <t>Not-Executed</t>
        </is>
      </c>
      <c r="D20" s="21" t="inlineStr"/>
    </row>
  </sheetData>
  <mergeCells count="1">
    <mergeCell ref="F1:J1"/>
  </mergeCells>
  <conditionalFormatting sqref="C2:C20">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20" showDropDown="0" showInputMessage="0" showErrorMessage="0" allowBlank="1" type="list">
      <formula1>"Not-Executed,Passed,Failed,Blocker,N/A"</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8"/>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M26 Reports &amp; Analytics</t>
        </is>
      </c>
    </row>
    <row r="2">
      <c r="A2" s="19" t="n">
        <v>1</v>
      </c>
      <c r="B2" s="20" t="inlineStr">
        <is>
          <t>Verify that the enrolment report headcount matches the active student count.</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the leavers report lists who left, when and why.</t>
        </is>
      </c>
      <c r="C3" s="10" t="inlineStr">
        <is>
          <t>Not-Executed</t>
        </is>
      </c>
      <c r="D3" s="21" t="inlineStr"/>
      <c r="F3" s="10">
        <f>COUNTA(B2:B18)</f>
        <v/>
      </c>
      <c r="G3" s="10">
        <f>COUNTIF(C2:C18,"Passed")</f>
        <v/>
      </c>
      <c r="H3" s="10">
        <f>COUNTIF(C2:C18,"Failed")</f>
        <v/>
      </c>
      <c r="I3" s="10">
        <f>COUNTIF(C2:C18,"Blocker")</f>
        <v/>
      </c>
      <c r="J3" s="10">
        <f>COUNTIF(C2:C18,"Not-Executed")</f>
        <v/>
      </c>
    </row>
    <row r="4">
      <c r="A4" s="19" t="n">
        <v>3</v>
      </c>
      <c r="B4" s="20" t="inlineStr">
        <is>
          <t>Verify that the attendance report figures match the attendance module.</t>
        </is>
      </c>
      <c r="C4" s="10" t="inlineStr">
        <is>
          <t>Not-Executed</t>
        </is>
      </c>
      <c r="D4" s="21" t="inlineStr"/>
    </row>
    <row r="5">
      <c r="A5" s="19" t="n">
        <v>4</v>
      </c>
      <c r="B5" s="20" t="inlineStr">
        <is>
          <t>Verify that the financial report reconciles exactly to the ledger.</t>
        </is>
      </c>
      <c r="C5" s="10" t="inlineStr">
        <is>
          <t>Not-Executed</t>
        </is>
      </c>
      <c r="D5" s="21" t="inlineStr"/>
    </row>
    <row r="6">
      <c r="A6" s="19" t="n">
        <v>5</v>
      </c>
      <c r="B6" s="20" t="inlineStr">
        <is>
          <t>Verify that the applications report reflects the admissions funnel accurately.</t>
        </is>
      </c>
      <c r="C6" s="10" t="inlineStr">
        <is>
          <t>Not-Executed</t>
        </is>
      </c>
      <c r="D6" s="21" t="inlineStr"/>
    </row>
    <row r="7">
      <c r="A7" s="19" t="n">
        <v>6</v>
      </c>
      <c r="B7" s="20" t="inlineStr">
        <is>
          <t>Verify that the insights badge count matches the critical items on the Insights tab.</t>
        </is>
      </c>
      <c r="C7" s="10" t="inlineStr">
        <is>
          <t>Not-Executed</t>
        </is>
      </c>
      <c r="D7" s="21" t="inlineStr"/>
    </row>
    <row r="8">
      <c r="A8" s="19" t="n">
        <v>7</v>
      </c>
      <c r="B8" s="20" t="inlineStr">
        <is>
          <t>Verify that applying a filter changes the report shown on screen.</t>
        </is>
      </c>
      <c r="C8" s="10" t="inlineStr">
        <is>
          <t>Not-Executed</t>
        </is>
      </c>
      <c r="D8" s="21" t="inlineStr"/>
    </row>
    <row r="9">
      <c r="A9" s="19" t="n">
        <v>8</v>
      </c>
      <c r="B9" s="20" t="inlineStr">
        <is>
          <t>Verify that an export contains exactly the filtered set.</t>
        </is>
      </c>
      <c r="C9" s="10" t="inlineStr">
        <is>
          <t>Not-Executed</t>
        </is>
      </c>
      <c r="D9" s="21" t="inlineStr"/>
    </row>
    <row r="10">
      <c r="A10" s="19" t="n">
        <v>9</v>
      </c>
      <c r="B10" s="20" t="inlineStr">
        <is>
          <t>Verify that the export states the filters that were applied.</t>
        </is>
      </c>
      <c r="C10" s="10" t="inlineStr">
        <is>
          <t>Not-Executed</t>
        </is>
      </c>
      <c r="D10" s="21" t="inlineStr"/>
    </row>
    <row r="11">
      <c r="A11" s="19" t="n">
        <v>10</v>
      </c>
      <c r="B11" s="20" t="inlineStr">
        <is>
          <t>Verify that a P&amp;L export opens correctly in a spreadsheet application.</t>
        </is>
      </c>
      <c r="C11" s="10" t="inlineStr">
        <is>
          <t>Not-Executed</t>
        </is>
      </c>
      <c r="D11" s="21" t="inlineStr"/>
    </row>
    <row r="12">
      <c r="A12" s="19" t="n">
        <v>11</v>
      </c>
      <c r="B12" s="20" t="inlineStr">
        <is>
          <t>Verify that the accounting journal export matches the target package format.</t>
        </is>
      </c>
      <c r="C12" s="10" t="inlineStr">
        <is>
          <t>Not-Executed</t>
        </is>
      </c>
      <c r="D12" s="21" t="inlineStr"/>
    </row>
    <row r="13">
      <c r="A13" s="19" t="n">
        <v>12</v>
      </c>
      <c r="B13" s="20" t="inlineStr">
        <is>
          <t>Verify that the print centre produces one document per student with branding.</t>
        </is>
      </c>
      <c r="C13" s="10" t="inlineStr">
        <is>
          <t>Not-Executed</t>
        </is>
      </c>
      <c r="D13" s="21" t="inlineStr"/>
    </row>
    <row r="14">
      <c r="A14" s="19" t="n">
        <v>13</v>
      </c>
      <c r="B14" s="20" t="inlineStr">
        <is>
          <t>Verify that every printed document carries a computer-generated footer.</t>
        </is>
      </c>
      <c r="C14" s="10" t="inlineStr">
        <is>
          <t>Not-Executed</t>
        </is>
      </c>
      <c r="D14" s="21" t="inlineStr"/>
    </row>
    <row r="15">
      <c r="A15" s="19" t="n">
        <v>14</v>
      </c>
      <c r="B15" s="20" t="inlineStr">
        <is>
          <t>Verify that a term with no data shows an empty state rather than a zeroed chart.</t>
        </is>
      </c>
      <c r="C15" s="10" t="inlineStr">
        <is>
          <t>Not-Executed</t>
        </is>
      </c>
      <c r="D15" s="21" t="inlineStr"/>
    </row>
    <row r="16">
      <c r="A16" s="19" t="n">
        <v>15</v>
      </c>
      <c r="B16" s="20" t="inlineStr">
        <is>
          <t>Verify that reports cover only the active branch when switched into one.</t>
        </is>
      </c>
      <c r="C16" s="10" t="inlineStr">
        <is>
          <t>Not-Executed</t>
        </is>
      </c>
      <c r="D16" s="21" t="inlineStr"/>
    </row>
    <row r="17">
      <c r="A17" s="19" t="n">
        <v>16</v>
      </c>
      <c r="B17" s="20" t="inlineStr">
        <is>
          <t>Verify that no report view can modify underlying data.</t>
        </is>
      </c>
      <c r="C17" s="10" t="inlineStr">
        <is>
          <t>Not-Executed</t>
        </is>
      </c>
      <c r="D17" s="21" t="inlineStr"/>
    </row>
    <row r="18">
      <c r="A18" s="19" t="n">
        <v>17</v>
      </c>
      <c r="B18" s="20" t="inlineStr">
        <is>
          <t>Verify that a large export does not freeze the page.</t>
        </is>
      </c>
      <c r="C18" s="10" t="inlineStr">
        <is>
          <t>Not-Executed</t>
        </is>
      </c>
      <c r="D18" s="21" t="inlineStr"/>
    </row>
  </sheetData>
  <mergeCells count="1">
    <mergeCell ref="F1:J1"/>
  </mergeCells>
  <conditionalFormatting sqref="C2:C18">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8" showDropDown="0" showInputMessage="0" showErrorMessage="0" allowBlank="1" type="list">
      <formula1>"Not-Executed,Passed,Failed,Blocker,N/A"</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16"/>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M27 Audit Log</t>
        </is>
      </c>
    </row>
    <row r="2">
      <c r="A2" s="19" t="n">
        <v>1</v>
      </c>
      <c r="B2" s="20" t="inlineStr">
        <is>
          <t>Verify that a sensitive action writes exactly one audit entry.</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the entry records actor, action, target and timestamp.</t>
        </is>
      </c>
      <c r="C3" s="10" t="inlineStr">
        <is>
          <t>Not-Executed</t>
        </is>
      </c>
      <c r="D3" s="21" t="inlineStr"/>
      <c r="F3" s="10">
        <f>COUNTA(B2:B16)</f>
        <v/>
      </c>
      <c r="G3" s="10">
        <f>COUNTIF(C2:C16,"Passed")</f>
        <v/>
      </c>
      <c r="H3" s="10">
        <f>COUNTIF(C2:C16,"Failed")</f>
        <v/>
      </c>
      <c r="I3" s="10">
        <f>COUNTIF(C2:C16,"Blocker")</f>
        <v/>
      </c>
      <c r="J3" s="10">
        <f>COUNTIF(C2:C16,"Not-Executed")</f>
        <v/>
      </c>
    </row>
    <row r="4">
      <c r="A4" s="19" t="n">
        <v>3</v>
      </c>
      <c r="B4" s="20" t="inlineStr">
        <is>
          <t>Verify that the acting user is named, not just their role.</t>
        </is>
      </c>
      <c r="C4" s="10" t="inlineStr">
        <is>
          <t>Not-Executed</t>
        </is>
      </c>
      <c r="D4" s="21" t="inlineStr"/>
    </row>
    <row r="5">
      <c r="A5" s="19" t="n">
        <v>4</v>
      </c>
      <c r="B5" s="20" t="inlineStr">
        <is>
          <t>Verify that no UI path allows editing an audit entry.</t>
        </is>
      </c>
      <c r="C5" s="10" t="inlineStr">
        <is>
          <t>Not-Executed</t>
        </is>
      </c>
      <c r="D5" s="21" t="inlineStr"/>
    </row>
    <row r="6">
      <c r="A6" s="19" t="n">
        <v>5</v>
      </c>
      <c r="B6" s="20" t="inlineStr">
        <is>
          <t>Verify that no UI path allows deleting an audit entry.</t>
        </is>
      </c>
      <c r="C6" s="10" t="inlineStr">
        <is>
          <t>Not-Executed</t>
        </is>
      </c>
      <c r="D6" s="21" t="inlineStr"/>
    </row>
    <row r="7">
      <c r="A7" s="19" t="n">
        <v>6</v>
      </c>
      <c r="B7" s="20" t="inlineStr">
        <is>
          <t>Verify that filtering by Students returns only student-category actions.</t>
        </is>
      </c>
      <c r="C7" s="10" t="inlineStr">
        <is>
          <t>Not-Executed</t>
        </is>
      </c>
      <c r="D7" s="21" t="inlineStr"/>
    </row>
    <row r="8">
      <c r="A8" s="19" t="n">
        <v>7</v>
      </c>
      <c r="B8" s="20" t="inlineStr">
        <is>
          <t>Verify that filtering by Finance returns only finance-category actions.</t>
        </is>
      </c>
      <c r="C8" s="10" t="inlineStr">
        <is>
          <t>Not-Executed</t>
        </is>
      </c>
      <c r="D8" s="21" t="inlineStr"/>
    </row>
    <row r="9">
      <c r="A9" s="19" t="n">
        <v>8</v>
      </c>
      <c r="B9" s="20" t="inlineStr">
        <is>
          <t>Verify that the All filter returns every entry including uncategorised actions.</t>
        </is>
      </c>
      <c r="C9" s="10" t="inlineStr">
        <is>
          <t>Not-Executed</t>
        </is>
      </c>
      <c r="D9" s="21" t="inlineStr"/>
    </row>
    <row r="10">
      <c r="A10" s="19" t="n">
        <v>9</v>
      </c>
      <c r="B10" s="20" t="inlineStr">
        <is>
          <t>Verify that the 7 day, 30 day, term and all date ranges filter correctly.</t>
        </is>
      </c>
      <c r="C10" s="10" t="inlineStr">
        <is>
          <t>Not-Executed</t>
        </is>
      </c>
      <c r="D10" s="21" t="inlineStr"/>
    </row>
    <row r="11">
      <c r="A11" s="19" t="n">
        <v>10</v>
      </c>
      <c r="B11" s="20" t="inlineStr">
        <is>
          <t>Verify that search matches actor and target names case-insensitively.</t>
        </is>
      </c>
      <c r="C11" s="10" t="inlineStr">
        <is>
          <t>Not-Executed</t>
        </is>
      </c>
      <c r="D11" s="21" t="inlineStr"/>
    </row>
    <row r="12">
      <c r="A12" s="19" t="n">
        <v>11</v>
      </c>
      <c r="B12" s="20" t="inlineStr">
        <is>
          <t>Verify that entries are ordered newest first consistently.</t>
        </is>
      </c>
      <c r="C12" s="10" t="inlineStr">
        <is>
          <t>Not-Executed</t>
        </is>
      </c>
      <c r="D12" s="21" t="inlineStr"/>
    </row>
    <row r="13">
      <c r="A13" s="19" t="n">
        <v>12</v>
      </c>
      <c r="B13" s="20" t="inlineStr">
        <is>
          <t>Verify that no entry contains a password, token or gateway key.</t>
        </is>
      </c>
      <c r="C13" s="10" t="inlineStr">
        <is>
          <t>Not-Executed</t>
        </is>
      </c>
      <c r="D13" s="21" t="inlineStr"/>
    </row>
    <row r="14">
      <c r="A14" s="19" t="n">
        <v>13</v>
      </c>
      <c r="B14" s="20" t="inlineStr">
        <is>
          <t>Verify that a failed audit write prevents the action from silently succeeding.</t>
        </is>
      </c>
      <c r="C14" s="10" t="inlineStr">
        <is>
          <t>Not-Executed</t>
        </is>
      </c>
      <c r="D14" s="21" t="inlineStr"/>
    </row>
    <row r="15">
      <c r="A15" s="19" t="n">
        <v>14</v>
      </c>
      <c r="B15" s="20" t="inlineStr">
        <is>
          <t>Verify that a group owner sees a branch's log only while switched into it.</t>
        </is>
      </c>
      <c r="C15" s="10" t="inlineStr">
        <is>
          <t>Not-Executed</t>
        </is>
      </c>
      <c r="D15" s="21" t="inlineStr"/>
    </row>
    <row r="16">
      <c r="A16" s="19" t="n">
        <v>15</v>
      </c>
      <c r="B16" s="20" t="inlineStr">
        <is>
          <t>Verify that an empty filter result shows a no-matching-activity state.</t>
        </is>
      </c>
      <c r="C16" s="10" t="inlineStr">
        <is>
          <t>Not-Executed</t>
        </is>
      </c>
      <c r="D16" s="21" t="inlineStr"/>
    </row>
  </sheetData>
  <mergeCells count="1">
    <mergeCell ref="F1:J1"/>
  </mergeCells>
  <conditionalFormatting sqref="C2:C16">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6" showDropDown="0" showInputMessage="0" showErrorMessage="0" allowBlank="1" type="list">
      <formula1>"Not-Executed,Passed,Failed,Blocker,N/A"</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16"/>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M28 Notifications</t>
        </is>
      </c>
    </row>
    <row r="2">
      <c r="A2" s="19" t="n">
        <v>1</v>
      </c>
      <c r="B2" s="20" t="inlineStr">
        <is>
          <t>Verify that the school can select the default channels used for outbound notifications.</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the SMS channel is rendered disabled and cannot be switched on.</t>
        </is>
      </c>
      <c r="C3" s="10" t="inlineStr">
        <is>
          <t>Not-Executed</t>
        </is>
      </c>
      <c r="D3" s="21" t="inlineStr"/>
      <c r="F3" s="10">
        <f>COUNTA(B2:B16)</f>
        <v/>
      </c>
      <c r="G3" s="10">
        <f>COUNTIF(C2:C16,"Passed")</f>
        <v/>
      </c>
      <c r="H3" s="10">
        <f>COUNTIF(C2:C16,"Failed")</f>
        <v/>
      </c>
      <c r="I3" s="10">
        <f>COUNTIF(C2:C16,"Blocker")</f>
        <v/>
      </c>
      <c r="J3" s="10">
        <f>COUNTIF(C2:C16,"Not-Executed")</f>
        <v/>
      </c>
    </row>
    <row r="4">
      <c r="A4" s="19" t="n">
        <v>3</v>
      </c>
      <c r="B4" s="20" t="inlineStr">
        <is>
          <t>Verify that the reason SMS is unavailable is stated on screen rather than left blank.</t>
        </is>
      </c>
      <c r="C4" s="10" t="inlineStr">
        <is>
          <t>Not-Executed</t>
        </is>
      </c>
      <c r="D4" s="21" t="inlineStr"/>
    </row>
    <row r="5">
      <c r="A5" s="19" t="n">
        <v>4</v>
      </c>
      <c r="B5" s="20" t="inlineStr">
        <is>
          <t>Verify that disabling a channel stops every module from using it.</t>
        </is>
      </c>
      <c r="C5" s="10" t="inlineStr">
        <is>
          <t>Not-Executed</t>
        </is>
      </c>
      <c r="D5" s="21" t="inlineStr"/>
    </row>
    <row r="6">
      <c r="A6" s="19" t="n">
        <v>5</v>
      </c>
      <c r="B6" s="20" t="inlineStr">
        <is>
          <t>Verify that switching a trigger off stops that notification on all channels.</t>
        </is>
      </c>
      <c r="C6" s="10" t="inlineStr">
        <is>
          <t>Not-Executed</t>
        </is>
      </c>
      <c r="D6" s="21" t="inlineStr"/>
    </row>
    <row r="7">
      <c r="A7" s="19" t="n">
        <v>6</v>
      </c>
      <c r="B7" s="20" t="inlineStr">
        <is>
          <t>Verify that the sickbay send-home alert fires even with every trigger switched off.</t>
        </is>
      </c>
      <c r="C7" s="10" t="inlineStr">
        <is>
          <t>Not-Executed</t>
        </is>
      </c>
      <c r="D7" s="21" t="inlineStr"/>
    </row>
    <row r="8">
      <c r="A8" s="19" t="n">
        <v>7</v>
      </c>
      <c r="B8" s="20" t="inlineStr">
        <is>
          <t>Verify that a parent receives notifications relating only to their own children.</t>
        </is>
      </c>
      <c r="C8" s="10" t="inlineStr">
        <is>
          <t>Not-Executed</t>
        </is>
      </c>
      <c r="D8" s="21" t="inlineStr"/>
    </row>
    <row r="9">
      <c r="A9" s="19" t="n">
        <v>8</v>
      </c>
      <c r="B9" s="20" t="inlineStr">
        <is>
          <t>Verify that an in-app notification is written even when an external channel fails.</t>
        </is>
      </c>
      <c r="C9" s="10" t="inlineStr">
        <is>
          <t>Not-Executed</t>
        </is>
      </c>
      <c r="D9" s="21" t="inlineStr"/>
    </row>
    <row r="10">
      <c r="A10" s="19" t="n">
        <v>9</v>
      </c>
      <c r="B10" s="20" t="inlineStr">
        <is>
          <t>Verify that the bell unread count matches the number of genuinely unread items.</t>
        </is>
      </c>
      <c r="C10" s="10" t="inlineStr">
        <is>
          <t>Not-Executed</t>
        </is>
      </c>
      <c r="D10" s="21" t="inlineStr"/>
    </row>
    <row r="11">
      <c r="A11" s="19" t="n">
        <v>10</v>
      </c>
      <c r="B11" s="20" t="inlineStr">
        <is>
          <t>Verify that opening a notification clears the unread state of that item only.</t>
        </is>
      </c>
      <c r="C11" s="10" t="inlineStr">
        <is>
          <t>Not-Executed</t>
        </is>
      </c>
      <c r="D11" s="21" t="inlineStr"/>
    </row>
    <row r="12">
      <c r="A12" s="19" t="n">
        <v>11</v>
      </c>
      <c r="B12" s="20" t="inlineStr">
        <is>
          <t>Verify that opening a notification deep-links to the relevant record.</t>
        </is>
      </c>
      <c r="C12" s="10" t="inlineStr">
        <is>
          <t>Not-Executed</t>
        </is>
      </c>
      <c r="D12" s="21" t="inlineStr"/>
    </row>
    <row r="13">
      <c r="A13" s="19" t="n">
        <v>12</v>
      </c>
      <c r="B13" s="20" t="inlineStr">
        <is>
          <t>Verify that a delivery failure is logged and never fails the originating action.</t>
        </is>
      </c>
      <c r="C13" s="10" t="inlineStr">
        <is>
          <t>Not-Executed</t>
        </is>
      </c>
      <c r="D13" s="21" t="inlineStr"/>
    </row>
    <row r="14">
      <c r="A14" s="19" t="n">
        <v>13</v>
      </c>
      <c r="B14" s="20" t="inlineStr">
        <is>
          <t>Verify that the same trigger for the same target on the same day sends only once.</t>
        </is>
      </c>
      <c r="C14" s="10" t="inlineStr">
        <is>
          <t>Not-Executed</t>
        </is>
      </c>
      <c r="D14" s="21" t="inlineStr"/>
    </row>
    <row r="15">
      <c r="A15" s="19" t="n">
        <v>14</v>
      </c>
      <c r="B15" s="20" t="inlineStr">
        <is>
          <t>Verify that notifications queued offline dispatch on reconnect without duplicating.</t>
        </is>
      </c>
      <c r="C15" s="10" t="inlineStr">
        <is>
          <t>Not-Executed</t>
        </is>
      </c>
      <c r="D15" s="21" t="inlineStr"/>
    </row>
    <row r="16">
      <c r="A16" s="19" t="n">
        <v>15</v>
      </c>
      <c r="B16" s="20" t="inlineStr">
        <is>
          <t>Verify that no notification body contains another family's data.</t>
        </is>
      </c>
      <c r="C16" s="10" t="inlineStr">
        <is>
          <t>Not-Executed</t>
        </is>
      </c>
      <c r="D16" s="21" t="inlineStr"/>
    </row>
  </sheetData>
  <mergeCells count="1">
    <mergeCell ref="F1:J1"/>
  </mergeCells>
  <conditionalFormatting sqref="C2:C16">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6" showDropDown="0" showInputMessage="0" showErrorMessage="0" allowBlank="1" type="list">
      <formula1>"Not-Executed,Passed,Failed,Blocker,N/A"</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16"/>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M29 Help &amp; Support</t>
        </is>
      </c>
    </row>
    <row r="2">
      <c r="A2" s="19" t="n">
        <v>1</v>
      </c>
      <c r="B2" s="20" t="inlineStr">
        <is>
          <t>Verify that live chat opens with a greeting rather than a blank window.</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chat history survives navigation and a page reload.</t>
        </is>
      </c>
      <c r="C3" s="10" t="inlineStr">
        <is>
          <t>Not-Executed</t>
        </is>
      </c>
      <c r="D3" s="21" t="inlineStr"/>
      <c r="F3" s="10">
        <f>COUNTA(B2:B16)</f>
        <v/>
      </c>
      <c r="G3" s="10">
        <f>COUNTIF(C2:C16,"Passed")</f>
        <v/>
      </c>
      <c r="H3" s="10">
        <f>COUNTIF(C2:C16,"Failed")</f>
        <v/>
      </c>
      <c r="I3" s="10">
        <f>COUNTIF(C2:C16,"Blocker")</f>
        <v/>
      </c>
      <c r="J3" s="10">
        <f>COUNTIF(C2:C16,"Not-Executed")</f>
        <v/>
      </c>
    </row>
    <row r="4">
      <c r="A4" s="19" t="n">
        <v>3</v>
      </c>
      <c r="B4" s="20" t="inlineStr">
        <is>
          <t>Verify that chat is scoped to the signed-in school only.</t>
        </is>
      </c>
      <c r="C4" s="10" t="inlineStr">
        <is>
          <t>Not-Executed</t>
        </is>
      </c>
      <c r="D4" s="21" t="inlineStr"/>
    </row>
    <row r="5">
      <c r="A5" s="19" t="n">
        <v>4</v>
      </c>
      <c r="B5" s="20" t="inlineStr">
        <is>
          <t>Verify that a ticket can be raised with a subject, category and message.</t>
        </is>
      </c>
      <c r="C5" s="10" t="inlineStr">
        <is>
          <t>Not-Executed</t>
        </is>
      </c>
      <c r="D5" s="21" t="inlineStr"/>
    </row>
    <row r="6">
      <c r="A6" s="19" t="n">
        <v>5</v>
      </c>
      <c r="B6" s="20" t="inlineStr">
        <is>
          <t>Verify that the open-ticket badge counts tickets not yet resolved.</t>
        </is>
      </c>
      <c r="C6" s="10" t="inlineStr">
        <is>
          <t>Not-Executed</t>
        </is>
      </c>
      <c r="D6" s="21" t="inlineStr"/>
    </row>
    <row r="7">
      <c r="A7" s="19" t="n">
        <v>6</v>
      </c>
      <c r="B7" s="20" t="inlineStr">
        <is>
          <t>Verify that an agent reply from the COP desk appears in the school's ticket thread.</t>
        </is>
      </c>
      <c r="C7" s="10" t="inlineStr">
        <is>
          <t>Not-Executed</t>
        </is>
      </c>
      <c r="D7" s="21" t="inlineStr"/>
    </row>
    <row r="8">
      <c r="A8" s="19" t="n">
        <v>7</v>
      </c>
      <c r="B8" s="20" t="inlineStr">
        <is>
          <t>Verify that the school is notified when an agent replies.</t>
        </is>
      </c>
      <c r="C8" s="10" t="inlineStr">
        <is>
          <t>Not-Executed</t>
        </is>
      </c>
      <c r="D8" s="21" t="inlineStr"/>
    </row>
    <row r="9">
      <c r="A9" s="19" t="n">
        <v>8</v>
      </c>
      <c r="B9" s="20" t="inlineStr">
        <is>
          <t>Verify that ticket status is identical in the school view and the COP queue.</t>
        </is>
      </c>
      <c r="C9" s="10" t="inlineStr">
        <is>
          <t>Not-Executed</t>
        </is>
      </c>
      <c r="D9" s="21" t="inlineStr"/>
    </row>
    <row r="10">
      <c r="A10" s="19" t="n">
        <v>9</v>
      </c>
      <c r="B10" s="20" t="inlineStr">
        <is>
          <t>Verify that the help centre is searchable by keyword.</t>
        </is>
      </c>
      <c r="C10" s="10" t="inlineStr">
        <is>
          <t>Not-Executed</t>
        </is>
      </c>
      <c r="D10" s="21" t="inlineStr"/>
    </row>
    <row r="11">
      <c r="A11" s="19" t="n">
        <v>10</v>
      </c>
      <c r="B11" s="20" t="inlineStr">
        <is>
          <t>Verify that a search with no results offers to raise a ticket.</t>
        </is>
      </c>
      <c r="C11" s="10" t="inlineStr">
        <is>
          <t>Not-Executed</t>
        </is>
      </c>
      <c r="D11" s="21" t="inlineStr"/>
    </row>
    <row r="12">
      <c r="A12" s="19" t="n">
        <v>11</v>
      </c>
      <c r="B12" s="20" t="inlineStr">
        <is>
          <t>Verify that a feature request raised from a locked screen appears in My Tickets.</t>
        </is>
      </c>
      <c r="C12" s="10" t="inlineStr">
        <is>
          <t>Not-Executed</t>
        </is>
      </c>
      <c r="D12" s="21" t="inlineStr"/>
    </row>
    <row r="13">
      <c r="A13" s="19" t="n">
        <v>12</v>
      </c>
      <c r="B13" s="20" t="inlineStr">
        <is>
          <t>Verify that Help and Support is reachable from the billing screen.</t>
        </is>
      </c>
      <c r="C13" s="10" t="inlineStr">
        <is>
          <t>Not-Executed</t>
        </is>
      </c>
      <c r="D13" s="21" t="inlineStr"/>
    </row>
    <row r="14">
      <c r="A14" s="19" t="n">
        <v>13</v>
      </c>
      <c r="B14" s="20" t="inlineStr">
        <is>
          <t>Verify that Help and Support is never hidden by entitlement gating.</t>
        </is>
      </c>
      <c r="C14" s="10" t="inlineStr">
        <is>
          <t>Not-Executed</t>
        </is>
      </c>
      <c r="D14" s="21" t="inlineStr"/>
    </row>
    <row r="15">
      <c r="A15" s="19" t="n">
        <v>14</v>
      </c>
      <c r="B15" s="20" t="inlineStr">
        <is>
          <t>Verify that a school cannot see another school's tickets or chat.</t>
        </is>
      </c>
      <c r="C15" s="10" t="inlineStr">
        <is>
          <t>Not-Executed</t>
        </is>
      </c>
      <c r="D15" s="21" t="inlineStr"/>
    </row>
    <row r="16">
      <c r="A16" s="19" t="n">
        <v>15</v>
      </c>
      <c r="B16" s="20" t="inlineStr">
        <is>
          <t>Verify that composing offline shows a will-send-on-reconnect state.</t>
        </is>
      </c>
      <c r="C16" s="10" t="inlineStr">
        <is>
          <t>Not-Executed</t>
        </is>
      </c>
      <c r="D16" s="21" t="inlineStr"/>
    </row>
  </sheetData>
  <mergeCells count="1">
    <mergeCell ref="F1:J1"/>
  </mergeCells>
  <conditionalFormatting sqref="C2:C16">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6" showDropDown="0" showInputMessage="0" showErrorMessage="0" allowBlank="1" type="list">
      <formula1>"Not-Executed,Passed,Failed,Blocker,N/A"</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23"/>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M30 Subscription &amp; Billing</t>
        </is>
      </c>
    </row>
    <row r="2">
      <c r="A2" s="19" t="n">
        <v>1</v>
      </c>
      <c r="B2" s="20" t="inlineStr">
        <is>
          <t>Verify that the owner can see their current plan, its price and the renewal date.</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the plan table shows what the current tier includes and what the tier above adds.</t>
        </is>
      </c>
      <c r="C3" s="10" t="inlineStr">
        <is>
          <t>Not-Executed</t>
        </is>
      </c>
      <c r="D3" s="21" t="inlineStr"/>
      <c r="F3" s="10">
        <f>COUNTA(B2:B23)</f>
        <v/>
      </c>
      <c r="G3" s="10">
        <f>COUNTIF(C2:C23,"Passed")</f>
        <v/>
      </c>
      <c r="H3" s="10">
        <f>COUNTIF(C2:C23,"Failed")</f>
        <v/>
      </c>
      <c r="I3" s="10">
        <f>COUNTIF(C2:C23,"Blocker")</f>
        <v/>
      </c>
      <c r="J3" s="10">
        <f>COUNTIF(C2:C23,"Not-Executed")</f>
        <v/>
      </c>
    </row>
    <row r="4">
      <c r="A4" s="19" t="n">
        <v>3</v>
      </c>
      <c r="B4" s="20" t="inlineStr">
        <is>
          <t>Verify that an upgrade quotes a pro-rata amount for the days remaining in the period.</t>
        </is>
      </c>
      <c r="C4" s="10" t="inlineStr">
        <is>
          <t>Not-Executed</t>
        </is>
      </c>
      <c r="D4" s="21" t="inlineStr"/>
    </row>
    <row r="5">
      <c r="A5" s="19" t="n">
        <v>4</v>
      </c>
      <c r="B5" s="20" t="inlineStr">
        <is>
          <t>Verify that the pro-rata amount is proportional to days remaining, not the full month.</t>
        </is>
      </c>
      <c r="C5" s="10" t="inlineStr">
        <is>
          <t>Not-Executed</t>
        </is>
      </c>
      <c r="D5" s="21" t="inlineStr"/>
    </row>
    <row r="6">
      <c r="A6" s="19" t="n">
        <v>5</v>
      </c>
      <c r="B6" s="20" t="inlineStr">
        <is>
          <t>Verify that paying the upgrade invoice widens entitlements immediately with no re-login.</t>
        </is>
      </c>
      <c r="C6" s="10" t="inlineStr">
        <is>
          <t>Not-Executed</t>
        </is>
      </c>
      <c r="D6" s="21" t="inlineStr"/>
    </row>
    <row r="7">
      <c r="A7" s="19" t="n">
        <v>6</v>
      </c>
      <c r="B7" s="20" t="inlineStr">
        <is>
          <t>Verify that a zero-cost upgrade completes without a payment gateway trip.</t>
        </is>
      </c>
      <c r="C7" s="10" t="inlineStr">
        <is>
          <t>Not-Executed</t>
        </is>
      </c>
      <c r="D7" s="21" t="inlineStr"/>
    </row>
    <row r="8">
      <c r="A8" s="19" t="n">
        <v>7</v>
      </c>
      <c r="B8" s="20" t="inlineStr">
        <is>
          <t>Verify that a downgrade is scheduled for the renewal date and is not applied on the spot.</t>
        </is>
      </c>
      <c r="C8" s="10" t="inlineStr">
        <is>
          <t>Not-Executed</t>
        </is>
      </c>
      <c r="D8" s="21" t="inlineStr"/>
    </row>
    <row r="9">
      <c r="A9" s="19" t="n">
        <v>8</v>
      </c>
      <c r="B9" s="20" t="inlineStr">
        <is>
          <t>Verify that all current-tier features remain usable until the downgrade takes effect.</t>
        </is>
      </c>
      <c r="C9" s="10" t="inlineStr">
        <is>
          <t>Not-Executed</t>
        </is>
      </c>
      <c r="D9" s="21" t="inlineStr"/>
    </row>
    <row r="10">
      <c r="A10" s="19" t="n">
        <v>9</v>
      </c>
      <c r="B10" s="20" t="inlineStr">
        <is>
          <t>Verify that a downgrade never produces a refund or a credit balance.</t>
        </is>
      </c>
      <c r="C10" s="10" t="inlineStr">
        <is>
          <t>Not-Executed</t>
        </is>
      </c>
      <c r="D10" s="21" t="inlineStr"/>
    </row>
    <row r="11">
      <c r="A11" s="19" t="n">
        <v>10</v>
      </c>
      <c r="B11" s="20" t="inlineStr">
        <is>
          <t>Verify that the pending plan change and its effective date stay visible until it applies.</t>
        </is>
      </c>
      <c r="C11" s="10" t="inlineStr">
        <is>
          <t>Not-Executed</t>
        </is>
      </c>
      <c r="D11" s="21" t="inlineStr"/>
    </row>
    <row r="12">
      <c r="A12" s="19" t="n">
        <v>11</v>
      </c>
      <c r="B12" s="20" t="inlineStr">
        <is>
          <t>Verify that a scheduled change can be cancelled with no charge or credit side effect.</t>
        </is>
      </c>
      <c r="C12" s="10" t="inlineStr">
        <is>
          <t>Not-Executed</t>
        </is>
      </c>
      <c r="D12" s="21" t="inlineStr"/>
    </row>
    <row r="13">
      <c r="A13" s="19" t="n">
        <v>12</v>
      </c>
      <c r="B13" s="20" t="inlineStr">
        <is>
          <t>Verify that the downgrade warning lists only tier-derived features, excluding overrides.</t>
        </is>
      </c>
      <c r="C13" s="10" t="inlineStr">
        <is>
          <t>Not-Executed</t>
        </is>
      </c>
      <c r="D13" s="21" t="inlineStr"/>
    </row>
    <row r="14">
      <c r="A14" s="19" t="n">
        <v>13</v>
      </c>
      <c r="B14" s="20" t="inlineStr">
        <is>
          <t>Verify that auto-renew can be switched off and access continues to the end of the paid period.</t>
        </is>
      </c>
      <c r="C14" s="10" t="inlineStr">
        <is>
          <t>Not-Executed</t>
        </is>
      </c>
      <c r="D14" s="21" t="inlineStr"/>
    </row>
    <row r="15">
      <c r="A15" s="19" t="n">
        <v>14</v>
      </c>
      <c r="B15" s="20" t="inlineStr">
        <is>
          <t>Verify that a renewal due in 30 days or fewer shows an amber chip on the owner's dashboard.</t>
        </is>
      </c>
      <c r="C15" s="10" t="inlineStr">
        <is>
          <t>Not-Executed</t>
        </is>
      </c>
      <c r="D15" s="21" t="inlineStr"/>
    </row>
    <row r="16">
      <c r="A16" s="19" t="n">
        <v>15</v>
      </c>
      <c r="B16" s="20" t="inlineStr">
        <is>
          <t>Verify that a renewal due in 7 days or fewer shows a red chip on the owner's dashboard.</t>
        </is>
      </c>
      <c r="C16" s="10" t="inlineStr">
        <is>
          <t>Not-Executed</t>
        </is>
      </c>
      <c r="D16" s="21" t="inlineStr"/>
    </row>
    <row r="17">
      <c r="A17" s="19" t="n">
        <v>16</v>
      </c>
      <c r="B17" s="20" t="inlineStr">
        <is>
          <t>Verify that the renewal chip deep-links to the Billing and Plan tab.</t>
        </is>
      </c>
      <c r="C17" s="10" t="inlineStr">
        <is>
          <t>Not-Executed</t>
        </is>
      </c>
      <c r="D17" s="21" t="inlineStr"/>
    </row>
    <row r="18">
      <c r="A18" s="19" t="n">
        <v>17</v>
      </c>
      <c r="B18" s="20" t="inlineStr">
        <is>
          <t>Verify that subscription invoices never appear in a parent's fee ledger.</t>
        </is>
      </c>
      <c r="C18" s="10" t="inlineStr">
        <is>
          <t>Not-Executed</t>
        </is>
      </c>
      <c r="D18" s="21" t="inlineStr"/>
    </row>
    <row r="19">
      <c r="A19" s="19" t="n">
        <v>18</v>
      </c>
      <c r="B19" s="20" t="inlineStr">
        <is>
          <t>Verify that no role other than the owner can view or change plan and billing.</t>
        </is>
      </c>
      <c r="C19" s="10" t="inlineStr">
        <is>
          <t>Not-Executed</t>
        </is>
      </c>
      <c r="D19" s="21" t="inlineStr"/>
    </row>
    <row r="20">
      <c r="A20" s="19" t="n">
        <v>19</v>
      </c>
      <c r="B20" s="20" t="inlineStr">
        <is>
          <t>Verify that a plan change made by a CASPAA operator follows the same rule as self-serve.</t>
        </is>
      </c>
      <c r="C20" s="10" t="inlineStr">
        <is>
          <t>Not-Executed</t>
        </is>
      </c>
      <c r="D20" s="21" t="inlineStr"/>
    </row>
    <row r="21">
      <c r="A21" s="19" t="n">
        <v>20</v>
      </c>
      <c r="B21" s="20" t="inlineStr">
        <is>
          <t>Verify that a lapsed subscription degrades to a locked screen with a working pay-now route.</t>
        </is>
      </c>
      <c r="C21" s="10" t="inlineStr">
        <is>
          <t>Not-Executed</t>
        </is>
      </c>
      <c r="D21" s="21" t="inlineStr"/>
    </row>
    <row r="22">
      <c r="A22" s="19" t="n">
        <v>21</v>
      </c>
      <c r="B22" s="20" t="inlineStr">
        <is>
          <t>Verify that a lapsed subscription never causes data loss.</t>
        </is>
      </c>
      <c r="C22" s="10" t="inlineStr">
        <is>
          <t>Not-Executed</t>
        </is>
      </c>
      <c r="D22" s="21" t="inlineStr"/>
    </row>
    <row r="23">
      <c r="A23" s="19" t="n">
        <v>22</v>
      </c>
      <c r="B23" s="20" t="inlineStr">
        <is>
          <t>Verify that every plan change, payment and auto-renew toggle writes an audit log entry.</t>
        </is>
      </c>
      <c r="C23" s="10" t="inlineStr">
        <is>
          <t>Not-Executed</t>
        </is>
      </c>
      <c r="D23" s="21" t="inlineStr"/>
    </row>
  </sheetData>
  <mergeCells count="1">
    <mergeCell ref="F1:J1"/>
  </mergeCells>
  <conditionalFormatting sqref="C2:C23">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23" showDropDown="0" showInputMessage="0" showErrorMessage="0" allowBlank="1" type="list">
      <formula1>"Not-Executed,Passed,Failed,Blocker,N/A"</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20"/>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M31 AI Assistant &amp; Insights</t>
        </is>
      </c>
    </row>
    <row r="2">
      <c r="A2" s="19" t="n">
        <v>1</v>
      </c>
      <c r="B2" s="20" t="inlineStr">
        <is>
          <t>Verify that an overdue invoice with a balance raises a critical insight.</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a student absent three or more consecutive days raises a critical insight.</t>
        </is>
      </c>
      <c r="C3" s="10" t="inlineStr">
        <is>
          <t>Not-Executed</t>
        </is>
      </c>
      <c r="D3" s="21" t="inlineStr"/>
      <c r="F3" s="10">
        <f>COUNTA(B2:B20)</f>
        <v/>
      </c>
      <c r="G3" s="10">
        <f>COUNTIF(C2:C20,"Passed")</f>
        <v/>
      </c>
      <c r="H3" s="10">
        <f>COUNTIF(C2:C20,"Failed")</f>
        <v/>
      </c>
      <c r="I3" s="10">
        <f>COUNTIF(C2:C20,"Blocker")</f>
        <v/>
      </c>
      <c r="J3" s="10">
        <f>COUNTIF(C2:C20,"Not-Executed")</f>
        <v/>
      </c>
    </row>
    <row r="4">
      <c r="A4" s="19" t="n">
        <v>3</v>
      </c>
      <c r="B4" s="20" t="inlineStr">
        <is>
          <t>Verify that fee collection below the configured target raises a warning insight.</t>
        </is>
      </c>
      <c r="C4" s="10" t="inlineStr">
        <is>
          <t>Not-Executed</t>
        </is>
      </c>
      <c r="D4" s="21" t="inlineStr"/>
    </row>
    <row r="5">
      <c r="A5" s="19" t="n">
        <v>4</v>
      </c>
      <c r="B5" s="20" t="inlineStr">
        <is>
          <t>Verify that an admissions visit past its scheduled date raises a warning insight.</t>
        </is>
      </c>
      <c r="C5" s="10" t="inlineStr">
        <is>
          <t>Not-Executed</t>
        </is>
      </c>
      <c r="D5" s="21" t="inlineStr"/>
    </row>
    <row r="6">
      <c r="A6" s="19" t="n">
        <v>5</v>
      </c>
      <c r="B6" s="20" t="inlineStr">
        <is>
          <t>Verify that an application pending seven or more days raises an info insight.</t>
        </is>
      </c>
      <c r="C6" s="10" t="inlineStr">
        <is>
          <t>Not-Executed</t>
        </is>
      </c>
      <c r="D6" s="21" t="inlineStr"/>
    </row>
    <row r="7">
      <c r="A7" s="19" t="n">
        <v>6</v>
      </c>
      <c r="B7" s="20" t="inlineStr">
        <is>
          <t>Verify that a club with one to four enrolments raises an info insight.</t>
        </is>
      </c>
      <c r="C7" s="10" t="inlineStr">
        <is>
          <t>Not-Executed</t>
        </is>
      </c>
      <c r="D7" s="21" t="inlineStr"/>
    </row>
    <row r="8">
      <c r="A8" s="19" t="n">
        <v>7</v>
      </c>
      <c r="B8" s="20" t="inlineStr">
        <is>
          <t>Verify that no rules firing produces an explicit all-clear item rather than an empty list.</t>
        </is>
      </c>
      <c r="C8" s="10" t="inlineStr">
        <is>
          <t>Not-Executed</t>
        </is>
      </c>
      <c r="D8" s="21" t="inlineStr"/>
    </row>
    <row r="9">
      <c r="A9" s="19" t="n">
        <v>8</v>
      </c>
      <c r="B9" s="20" t="inlineStr">
        <is>
          <t>Verify that insights are ordered critical, then warning, then info.</t>
        </is>
      </c>
      <c r="C9" s="10" t="inlineStr">
        <is>
          <t>Not-Executed</t>
        </is>
      </c>
      <c r="D9" s="21" t="inlineStr"/>
    </row>
    <row r="10">
      <c r="A10" s="19" t="n">
        <v>9</v>
      </c>
      <c r="B10" s="20" t="inlineStr">
        <is>
          <t>Verify that every insight links to the screen where it can be resolved.</t>
        </is>
      </c>
      <c r="C10" s="10" t="inlineStr">
        <is>
          <t>Not-Executed</t>
        </is>
      </c>
      <c r="D10" s="21" t="inlineStr"/>
    </row>
    <row r="11">
      <c r="A11" s="19" t="n">
        <v>10</v>
      </c>
      <c r="B11" s="20" t="inlineStr">
        <is>
          <t>Verify that insights state counts, amounts or names rather than vague text.</t>
        </is>
      </c>
      <c r="C11" s="10" t="inlineStr">
        <is>
          <t>Not-Executed</t>
        </is>
      </c>
      <c r="D11" s="21" t="inlineStr"/>
    </row>
    <row r="12">
      <c r="A12" s="19" t="n">
        <v>11</v>
      </c>
      <c r="B12" s="20" t="inlineStr">
        <is>
          <t>Verify that insights recompute live and are never served stale.</t>
        </is>
      </c>
      <c r="C12" s="10" t="inlineStr">
        <is>
          <t>Not-Executed</t>
        </is>
      </c>
      <c r="D12" s="21" t="inlineStr"/>
    </row>
    <row r="13">
      <c r="A13" s="19" t="n">
        <v>12</v>
      </c>
      <c r="B13" s="20" t="inlineStr">
        <is>
          <t>Verify that changing the collection target changes which insights fire.</t>
        </is>
      </c>
      <c r="C13" s="10" t="inlineStr">
        <is>
          <t>Not-Executed</t>
        </is>
      </c>
      <c r="D13" s="21" t="inlineStr"/>
    </row>
    <row r="14">
      <c r="A14" s="19" t="n">
        <v>13</v>
      </c>
      <c r="B14" s="20" t="inlineStr">
        <is>
          <t>Verify that changing the attendance threshold changes which students are flagged.</t>
        </is>
      </c>
      <c r="C14" s="10" t="inlineStr">
        <is>
          <t>Not-Executed</t>
        </is>
      </c>
      <c r="D14" s="21" t="inlineStr"/>
    </row>
    <row r="15">
      <c r="A15" s="19" t="n">
        <v>14</v>
      </c>
      <c r="B15" s="20" t="inlineStr">
        <is>
          <t>Verify that switching an AI feature off removes it everywhere it appeared.</t>
        </is>
      </c>
      <c r="C15" s="10" t="inlineStr">
        <is>
          <t>Not-Executed</t>
        </is>
      </c>
      <c r="D15" s="21" t="inlineStr"/>
    </row>
    <row r="16">
      <c r="A16" s="19" t="n">
        <v>15</v>
      </c>
      <c r="B16" s="20" t="inlineStr">
        <is>
          <t>Verify that a drafted report comment can be edited or replaced before submission.</t>
        </is>
      </c>
      <c r="C16" s="10" t="inlineStr">
        <is>
          <t>Not-Executed</t>
        </is>
      </c>
      <c r="D16" s="21" t="inlineStr"/>
    </row>
    <row r="17">
      <c r="A17" s="19" t="n">
        <v>16</v>
      </c>
      <c r="B17" s="20" t="inlineStr">
        <is>
          <t>Verify that a drafted comment remains a draft until the teacher accepts it.</t>
        </is>
      </c>
      <c r="C17" s="10" t="inlineStr">
        <is>
          <t>Not-Executed</t>
        </is>
      </c>
      <c r="D17" s="21" t="inlineStr"/>
    </row>
    <row r="18">
      <c r="A18" s="19" t="n">
        <v>17</v>
      </c>
      <c r="B18" s="20" t="inlineStr">
        <is>
          <t>Verify that no AI feature approves results, sends money or messages a parent unattended.</t>
        </is>
      </c>
      <c r="C18" s="10" t="inlineStr">
        <is>
          <t>Not-Executed</t>
        </is>
      </c>
      <c r="D18" s="21" t="inlineStr"/>
    </row>
    <row r="19">
      <c r="A19" s="19" t="n">
        <v>18</v>
      </c>
      <c r="B19" s="20" t="inlineStr">
        <is>
          <t>Verify that insights cover the active branch only.</t>
        </is>
      </c>
      <c r="C19" s="10" t="inlineStr">
        <is>
          <t>Not-Executed</t>
        </is>
      </c>
      <c r="D19" s="21" t="inlineStr"/>
    </row>
    <row r="20">
      <c r="A20" s="19" t="n">
        <v>19</v>
      </c>
      <c r="B20" s="20" t="inlineStr">
        <is>
          <t>Verify that insight rules run without any student data leaving the tenant.</t>
        </is>
      </c>
      <c r="C20" s="10" t="inlineStr">
        <is>
          <t>Not-Executed</t>
        </is>
      </c>
      <c r="D20" s="21" t="inlineStr"/>
    </row>
  </sheetData>
  <mergeCells count="1">
    <mergeCell ref="F1:J1"/>
  </mergeCells>
  <conditionalFormatting sqref="C2:C20">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20" showDropDown="0" showInputMessage="0" showErrorMessage="0" allowBlank="1" type="list">
      <formula1>"Not-Executed,Passed,Failed,Blocker,N/A"</formula1>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9"/>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M32 Public Site &amp; Acquisition</t>
        </is>
      </c>
    </row>
    <row r="2">
      <c r="A2" s="19" t="n">
        <v>1</v>
      </c>
      <c r="B2" s="20" t="inlineStr">
        <is>
          <t>Verify that the public home page loads without an account.</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the pricing page matches the plan pricing used in Billing.</t>
        </is>
      </c>
      <c r="C3" s="10" t="inlineStr">
        <is>
          <t>Not-Executed</t>
        </is>
      </c>
      <c r="D3" s="21" t="inlineStr"/>
      <c r="F3" s="10">
        <f>COUNTA(B2:B19)</f>
        <v/>
      </c>
      <c r="G3" s="10">
        <f>COUNTIF(C2:C19,"Passed")</f>
        <v/>
      </c>
      <c r="H3" s="10">
        <f>COUNTIF(C2:C19,"Failed")</f>
        <v/>
      </c>
      <c r="I3" s="10">
        <f>COUNTIF(C2:C19,"Blocker")</f>
        <v/>
      </c>
      <c r="J3" s="10">
        <f>COUNTIF(C2:C19,"Not-Executed")</f>
        <v/>
      </c>
    </row>
    <row r="4">
      <c r="A4" s="19" t="n">
        <v>3</v>
      </c>
      <c r="B4" s="20" t="inlineStr">
        <is>
          <t>Verify that a solutions page renders correctly for each role.</t>
        </is>
      </c>
      <c r="C4" s="10" t="inlineStr">
        <is>
          <t>Not-Executed</t>
        </is>
      </c>
      <c r="D4" s="21" t="inlineStr"/>
    </row>
    <row r="5">
      <c r="A5" s="19" t="n">
        <v>4</v>
      </c>
      <c r="B5" s="20" t="inlineStr">
        <is>
          <t>Verify that the contact form submits successfully.</t>
        </is>
      </c>
      <c r="C5" s="10" t="inlineStr">
        <is>
          <t>Not-Executed</t>
        </is>
      </c>
      <c r="D5" s="21" t="inlineStr"/>
    </row>
    <row r="6">
      <c r="A6" s="19" t="n">
        <v>5</v>
      </c>
      <c r="B6" s="20" t="inlineStr">
        <is>
          <t>Verify that a public route renders its page rather than the sign-in screen.</t>
        </is>
      </c>
      <c r="C6" s="10" t="inlineStr">
        <is>
          <t>Not-Executed</t>
        </is>
      </c>
      <c r="D6" s="21" t="inlineStr"/>
    </row>
    <row r="7">
      <c r="A7" s="19" t="n">
        <v>6</v>
      </c>
      <c r="B7" s="20" t="inlineStr">
        <is>
          <t>Verify that back navigation from a public route behaves correctly.</t>
        </is>
      </c>
      <c r="C7" s="10" t="inlineStr">
        <is>
          <t>Not-Executed</t>
        </is>
      </c>
      <c r="D7" s="21" t="inlineStr"/>
    </row>
    <row r="8">
      <c r="A8" s="19" t="n">
        <v>7</v>
      </c>
      <c r="B8" s="20" t="inlineStr">
        <is>
          <t>Verify that a tour booking submits without an account.</t>
        </is>
      </c>
      <c r="C8" s="10" t="inlineStr">
        <is>
          <t>Not-Executed</t>
        </is>
      </c>
      <c r="D8" s="21" t="inlineStr"/>
    </row>
    <row r="9">
      <c r="A9" s="19" t="n">
        <v>8</v>
      </c>
      <c r="B9" s="20" t="inlineStr">
        <is>
          <t>Verify that an admission application submits without an account.</t>
        </is>
      </c>
      <c r="C9" s="10" t="inlineStr">
        <is>
          <t>Not-Executed</t>
        </is>
      </c>
      <c r="D9" s="21" t="inlineStr"/>
    </row>
    <row r="10">
      <c r="A10" s="19" t="n">
        <v>9</v>
      </c>
      <c r="B10" s="20" t="inlineStr">
        <is>
          <t>Verify that a career enquiry submits with a CV attachment.</t>
        </is>
      </c>
      <c r="C10" s="10" t="inlineStr">
        <is>
          <t>Not-Executed</t>
        </is>
      </c>
      <c r="D10" s="21" t="inlineStr"/>
    </row>
    <row r="11">
      <c r="A11" s="19" t="n">
        <v>10</v>
      </c>
      <c r="B11" s="20" t="inlineStr">
        <is>
          <t>Verify that a proprietor can self-register a school.</t>
        </is>
      </c>
      <c r="C11" s="10" t="inlineStr">
        <is>
          <t>Not-Executed</t>
        </is>
      </c>
      <c r="D11" s="21" t="inlineStr"/>
    </row>
    <row r="12">
      <c r="A12" s="19" t="n">
        <v>11</v>
      </c>
      <c r="B12" s="20" t="inlineStr">
        <is>
          <t>Verify that a verification document can be uploaded during registration.</t>
        </is>
      </c>
      <c r="C12" s="10" t="inlineStr">
        <is>
          <t>Not-Executed</t>
        </is>
      </c>
      <c r="D12" s="21" t="inlineStr"/>
    </row>
    <row r="13">
      <c r="A13" s="19" t="n">
        <v>12</v>
      </c>
      <c r="B13" s="20" t="inlineStr">
        <is>
          <t>Verify that only accepted document file types are allowed.</t>
        </is>
      </c>
      <c r="C13" s="10" t="inlineStr">
        <is>
          <t>Not-Executed</t>
        </is>
      </c>
      <c r="D13" s="21" t="inlineStr"/>
    </row>
    <row r="14">
      <c r="A14" s="19" t="n">
        <v>13</v>
      </c>
      <c r="B14" s="20" t="inlineStr">
        <is>
          <t>Verify that an oversized document is rejected with a clear message.</t>
        </is>
      </c>
      <c r="C14" s="10" t="inlineStr">
        <is>
          <t>Not-Executed</t>
        </is>
      </c>
      <c r="D14" s="21" t="inlineStr"/>
    </row>
    <row r="15">
      <c r="A15" s="19" t="n">
        <v>14</v>
      </c>
      <c r="B15" s="20" t="inlineStr">
        <is>
          <t>Verify that the new school is created with a pending verification status.</t>
        </is>
      </c>
      <c r="C15" s="10" t="inlineStr">
        <is>
          <t>Not-Executed</t>
        </is>
      </c>
      <c r="D15" s="21" t="inlineStr"/>
    </row>
    <row r="16">
      <c r="A16" s="19" t="n">
        <v>15</v>
      </c>
      <c r="B16" s="20" t="inlineStr">
        <is>
          <t>Verify that public form submissions are validated and rate-limited.</t>
        </is>
      </c>
      <c r="C16" s="10" t="inlineStr">
        <is>
          <t>Not-Executed</t>
        </is>
      </c>
      <c r="D16" s="21" t="inlineStr"/>
    </row>
    <row r="17">
      <c r="A17" s="19" t="n">
        <v>16</v>
      </c>
      <c r="B17" s="20" t="inlineStr">
        <is>
          <t>Verify that a malformed or hostile submission cannot create a malformed lead.</t>
        </is>
      </c>
      <c r="C17" s="10" t="inlineStr">
        <is>
          <t>Not-Executed</t>
        </is>
      </c>
      <c r="D17" s="21" t="inlineStr"/>
    </row>
    <row r="18">
      <c r="A18" s="19" t="n">
        <v>17</v>
      </c>
      <c r="B18" s="20" t="inlineStr">
        <is>
          <t>Verify that public pages are responsive on a mobile viewport.</t>
        </is>
      </c>
      <c r="C18" s="10" t="inlineStr">
        <is>
          <t>Not-Executed</t>
        </is>
      </c>
      <c r="D18" s="21" t="inlineStr"/>
    </row>
    <row r="19">
      <c r="A19" s="19" t="n">
        <v>18</v>
      </c>
      <c r="B19" s="20" t="inlineStr">
        <is>
          <t>Verify that public pricing and plan features read from the same source as entitlements.</t>
        </is>
      </c>
      <c r="C19" s="10" t="inlineStr">
        <is>
          <t>Not-Executed</t>
        </is>
      </c>
      <c r="D19" s="21" t="inlineStr"/>
    </row>
  </sheetData>
  <mergeCells count="1">
    <mergeCell ref="F1:J1"/>
  </mergeCells>
  <conditionalFormatting sqref="C2:C19">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9" showDropDown="0" showInputMessage="0" showErrorMessage="0" allowBlank="1" type="list">
      <formula1>"Not-Executed,Passed,Failed,Blocker,N/A"</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9"/>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M33 Role Dashboards</t>
        </is>
      </c>
    </row>
    <row r="2">
      <c r="A2" s="19" t="n">
        <v>1</v>
      </c>
      <c r="B2" s="20" t="inlineStr">
        <is>
          <t>Verify that each role lands on the dashboard built for that role.</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a dashboard shows only what the role's permissions allow.</t>
        </is>
      </c>
      <c r="C3" s="10" t="inlineStr">
        <is>
          <t>Not-Executed</t>
        </is>
      </c>
      <c r="D3" s="21" t="inlineStr"/>
      <c r="F3" s="10">
        <f>COUNTA(B2:B19)</f>
        <v/>
      </c>
      <c r="G3" s="10">
        <f>COUNTIF(C2:C19,"Passed")</f>
        <v/>
      </c>
      <c r="H3" s="10">
        <f>COUNTIF(C2:C19,"Failed")</f>
        <v/>
      </c>
      <c r="I3" s="10">
        <f>COUNTIF(C2:C19,"Blocker")</f>
        <v/>
      </c>
      <c r="J3" s="10">
        <f>COUNTIF(C2:C19,"Not-Executed")</f>
        <v/>
      </c>
    </row>
    <row r="4">
      <c r="A4" s="19" t="n">
        <v>3</v>
      </c>
      <c r="B4" s="20" t="inlineStr">
        <is>
          <t>Verify that every KPI figure matches its source module exactly.</t>
        </is>
      </c>
      <c r="C4" s="10" t="inlineStr">
        <is>
          <t>Not-Executed</t>
        </is>
      </c>
      <c r="D4" s="21" t="inlineStr"/>
    </row>
    <row r="5">
      <c r="A5" s="19" t="n">
        <v>4</v>
      </c>
      <c r="B5" s="20" t="inlineStr">
        <is>
          <t>Verify that an action chip appears only while its condition holds.</t>
        </is>
      </c>
      <c r="C5" s="10" t="inlineStr">
        <is>
          <t>Not-Executed</t>
        </is>
      </c>
      <c r="D5" s="21" t="inlineStr"/>
    </row>
    <row r="6">
      <c r="A6" s="19" t="n">
        <v>5</v>
      </c>
      <c r="B6" s="20" t="inlineStr">
        <is>
          <t>Verify that a chip disappears once its condition is resolved.</t>
        </is>
      </c>
      <c r="C6" s="10" t="inlineStr">
        <is>
          <t>Not-Executed</t>
        </is>
      </c>
      <c r="D6" s="21" t="inlineStr"/>
    </row>
    <row r="7">
      <c r="A7" s="19" t="n">
        <v>6</v>
      </c>
      <c r="B7" s="20" t="inlineStr">
        <is>
          <t>Verify that clicking a chip deep-links to the specific tab with the relevant filter.</t>
        </is>
      </c>
      <c r="C7" s="10" t="inlineStr">
        <is>
          <t>Not-Executed</t>
        </is>
      </c>
      <c r="D7" s="21" t="inlineStr"/>
    </row>
    <row r="8">
      <c r="A8" s="19" t="n">
        <v>7</v>
      </c>
      <c r="B8" s="20" t="inlineStr">
        <is>
          <t>Verify that a subscription renewal within seven days shows a red chip.</t>
        </is>
      </c>
      <c r="C8" s="10" t="inlineStr">
        <is>
          <t>Not-Executed</t>
        </is>
      </c>
      <c r="D8" s="21" t="inlineStr"/>
    </row>
    <row r="9">
      <c r="A9" s="19" t="n">
        <v>8</v>
      </c>
      <c r="B9" s="20" t="inlineStr">
        <is>
          <t>Verify that a subscription renewal within thirty days shows an amber chip.</t>
        </is>
      </c>
      <c r="C9" s="10" t="inlineStr">
        <is>
          <t>Not-Executed</t>
        </is>
      </c>
      <c r="D9" s="21" t="inlineStr"/>
    </row>
    <row r="10">
      <c r="A10" s="19" t="n">
        <v>9</v>
      </c>
      <c r="B10" s="20" t="inlineStr">
        <is>
          <t>Verify that chip severity is not conveyed by colour alone.</t>
        </is>
      </c>
      <c r="C10" s="10" t="inlineStr">
        <is>
          <t>Not-Executed</t>
        </is>
      </c>
      <c r="D10" s="21" t="inlineStr"/>
    </row>
    <row r="11">
      <c r="A11" s="19" t="n">
        <v>10</v>
      </c>
      <c r="B11" s="20" t="inlineStr">
        <is>
          <t>Verify that a low-stock chip count matches the inventory module.</t>
        </is>
      </c>
      <c r="C11" s="10" t="inlineStr">
        <is>
          <t>Not-Executed</t>
        </is>
      </c>
      <c r="D11" s="21" t="inlineStr"/>
    </row>
    <row r="12">
      <c r="A12" s="19" t="n">
        <v>11</v>
      </c>
      <c r="B12" s="20" t="inlineStr">
        <is>
          <t>Verify that an overdue-books chip count matches the library Overdue tab.</t>
        </is>
      </c>
      <c r="C12" s="10" t="inlineStr">
        <is>
          <t>Not-Executed</t>
        </is>
      </c>
      <c r="D12" s="21" t="inlineStr"/>
    </row>
    <row r="13">
      <c r="A13" s="19" t="n">
        <v>12</v>
      </c>
      <c r="B13" s="20" t="inlineStr">
        <is>
          <t>Verify that a new school with no data shows a guided get-started state.</t>
        </is>
      </c>
      <c r="C13" s="10" t="inlineStr">
        <is>
          <t>Not-Executed</t>
        </is>
      </c>
      <c r="D13" s="21" t="inlineStr"/>
    </row>
    <row r="14">
      <c r="A14" s="19" t="n">
        <v>13</v>
      </c>
      <c r="B14" s="20" t="inlineStr">
        <is>
          <t>Verify that a parent with several children sees each child distinctly.</t>
        </is>
      </c>
      <c r="C14" s="10" t="inlineStr">
        <is>
          <t>Not-Executed</t>
        </is>
      </c>
      <c r="D14" s="21" t="inlineStr"/>
    </row>
    <row r="15">
      <c r="A15" s="19" t="n">
        <v>14</v>
      </c>
      <c r="B15" s="20" t="inlineStr">
        <is>
          <t>Verify that no parent figure aggregates in a way that hides an outstanding debt.</t>
        </is>
      </c>
      <c r="C15" s="10" t="inlineStr">
        <is>
          <t>Not-Executed</t>
        </is>
      </c>
      <c r="D15" s="21" t="inlineStr"/>
    </row>
    <row r="16">
      <c r="A16" s="19" t="n">
        <v>15</v>
      </c>
      <c r="B16" s="20" t="inlineStr">
        <is>
          <t>Verify that a group owner not switched into a branch lands on the group overview.</t>
        </is>
      </c>
      <c r="C16" s="10" t="inlineStr">
        <is>
          <t>Not-Executed</t>
        </is>
      </c>
      <c r="D16" s="21" t="inlineStr"/>
    </row>
    <row r="17">
      <c r="A17" s="19" t="n">
        <v>16</v>
      </c>
      <c r="B17" s="20" t="inlineStr">
        <is>
          <t>Verify that the dashboard renders without perceptible delay on a mid-range phone.</t>
        </is>
      </c>
      <c r="C17" s="10" t="inlineStr">
        <is>
          <t>Not-Executed</t>
        </is>
      </c>
      <c r="D17" s="21" t="inlineStr"/>
    </row>
    <row r="18">
      <c r="A18" s="19" t="n">
        <v>17</v>
      </c>
      <c r="B18" s="20" t="inlineStr">
        <is>
          <t>Verify that no dashboard surface can modify data.</t>
        </is>
      </c>
      <c r="C18" s="10" t="inlineStr">
        <is>
          <t>Not-Executed</t>
        </is>
      </c>
      <c r="D18" s="21" t="inlineStr"/>
    </row>
    <row r="19">
      <c r="A19" s="19" t="n">
        <v>18</v>
      </c>
      <c r="B19" s="20" t="inlineStr">
        <is>
          <t>Verify that the dashboard degrades gracefully offline with a last-updated marker.</t>
        </is>
      </c>
      <c r="C19" s="10" t="inlineStr">
        <is>
          <t>Not-Executed</t>
        </is>
      </c>
      <c r="D19" s="21" t="inlineStr"/>
    </row>
  </sheetData>
  <mergeCells count="1">
    <mergeCell ref="F1:J1"/>
  </mergeCells>
  <conditionalFormatting sqref="C2:C19">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9" showDropDown="0" showInputMessage="0" showErrorMessage="0" allowBlank="1" type="list">
      <formula1>"Not-Executed,Passed,Failed,Blocker,N/A"</formula1>
    </dataValidation>
  </dataValidation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14"/>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M34 COP Platform Settings</t>
        </is>
      </c>
    </row>
    <row r="2">
      <c r="A2" s="19" t="n">
        <v>1</v>
      </c>
      <c r="B2" s="20" t="inlineStr">
        <is>
          <t>Verify that a global feature flag can be toggled from the COP.</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a flag switched off applies to every school without a redeploy.</t>
        </is>
      </c>
      <c r="C3" s="10" t="inlineStr">
        <is>
          <t>Not-Executed</t>
        </is>
      </c>
      <c r="D3" s="21" t="inlineStr"/>
      <c r="F3" s="10">
        <f>COUNTA(B2:B14)</f>
        <v/>
      </c>
      <c r="G3" s="10">
        <f>COUNTIF(C2:C14,"Passed")</f>
        <v/>
      </c>
      <c r="H3" s="10">
        <f>COUNTIF(C2:C14,"Failed")</f>
        <v/>
      </c>
      <c r="I3" s="10">
        <f>COUNTIF(C2:C14,"Blocker")</f>
        <v/>
      </c>
      <c r="J3" s="10">
        <f>COUNTIF(C2:C14,"Not-Executed")</f>
        <v/>
      </c>
    </row>
    <row r="4">
      <c r="A4" s="19" t="n">
        <v>3</v>
      </c>
      <c r="B4" s="20" t="inlineStr">
        <is>
          <t>Verify that a global flag off overrides a per-school override that is on.</t>
        </is>
      </c>
      <c r="C4" s="10" t="inlineStr">
        <is>
          <t>Not-Executed</t>
        </is>
      </c>
      <c r="D4" s="21" t="inlineStr"/>
    </row>
    <row r="5">
      <c r="A5" s="19" t="n">
        <v>4</v>
      </c>
      <c r="B5" s="20" t="inlineStr">
        <is>
          <t>Verify that resolution order is global flag, then per-school override, then plan default.</t>
        </is>
      </c>
      <c r="C5" s="10" t="inlineStr">
        <is>
          <t>Not-Executed</t>
        </is>
      </c>
      <c r="D5" s="21" t="inlineStr"/>
    </row>
    <row r="6">
      <c r="A6" s="19" t="n">
        <v>5</v>
      </c>
      <c r="B6" s="20" t="inlineStr">
        <is>
          <t>Verify that beta capabilities carry a visible beta badge.</t>
        </is>
      </c>
      <c r="C6" s="10" t="inlineStr">
        <is>
          <t>Not-Executed</t>
        </is>
      </c>
      <c r="D6" s="21" t="inlineStr"/>
    </row>
    <row r="7">
      <c r="A7" s="19" t="n">
        <v>6</v>
      </c>
      <c r="B7" s="20" t="inlineStr">
        <is>
          <t>Verify that the lending flag off makes every loan entry point unreachable.</t>
        </is>
      </c>
      <c r="C7" s="10" t="inlineStr">
        <is>
          <t>Not-Executed</t>
        </is>
      </c>
      <c r="D7" s="21" t="inlineStr"/>
    </row>
    <row r="8">
      <c r="A8" s="19" t="n">
        <v>7</v>
      </c>
      <c r="B8" s="20" t="inlineStr">
        <is>
          <t>Verify that a school-side screen degrades to a locked state when a flag flips mid-session.</t>
        </is>
      </c>
      <c r="C8" s="10" t="inlineStr">
        <is>
          <t>Not-Executed</t>
        </is>
      </c>
      <c r="D8" s="21" t="inlineStr"/>
    </row>
    <row r="9">
      <c r="A9" s="19" t="n">
        <v>8</v>
      </c>
      <c r="B9" s="20" t="inlineStr">
        <is>
          <t>Verify that no school-side screen crashes when a flag flips mid-session.</t>
        </is>
      </c>
      <c r="C9" s="10" t="inlineStr">
        <is>
          <t>Not-Executed</t>
        </is>
      </c>
      <c r="D9" s="21" t="inlineStr"/>
    </row>
    <row r="10">
      <c r="A10" s="19" t="n">
        <v>9</v>
      </c>
      <c r="B10" s="20" t="inlineStr">
        <is>
          <t>Verify that security rows reflect the actual enforced configuration.</t>
        </is>
      </c>
      <c r="C10" s="10" t="inlineStr">
        <is>
          <t>Not-Executed</t>
        </is>
      </c>
      <c r="D10" s="21" t="inlineStr"/>
    </row>
    <row r="11">
      <c r="A11" s="19" t="n">
        <v>10</v>
      </c>
      <c r="B11" s="20" t="inlineStr">
        <is>
          <t>Verify that only COP roles with the platform-settings permission can open the screen.</t>
        </is>
      </c>
      <c r="C11" s="10" t="inlineStr">
        <is>
          <t>Not-Executed</t>
        </is>
      </c>
      <c r="D11" s="21" t="inlineStr"/>
    </row>
    <row r="12">
      <c r="A12" s="19" t="n">
        <v>11</v>
      </c>
      <c r="B12" s="20" t="inlineStr">
        <is>
          <t>Verify that turning off a capability in use requires explicit confirmation naming the impact.</t>
        </is>
      </c>
      <c r="C12" s="10" t="inlineStr">
        <is>
          <t>Not-Executed</t>
        </is>
      </c>
      <c r="D12" s="21" t="inlineStr"/>
    </row>
    <row r="13">
      <c r="A13" s="19" t="n">
        <v>12</v>
      </c>
      <c r="B13" s="20" t="inlineStr">
        <is>
          <t>Verify that every change records the actor, timestamp and previous value.</t>
        </is>
      </c>
      <c r="C13" s="10" t="inlineStr">
        <is>
          <t>Not-Executed</t>
        </is>
      </c>
      <c r="D13" s="21" t="inlineStr"/>
    </row>
    <row r="14">
      <c r="A14" s="19" t="n">
        <v>13</v>
      </c>
      <c r="B14" s="20" t="inlineStr">
        <is>
          <t>Verify that platform settings changes are written to an immutable log.</t>
        </is>
      </c>
      <c r="C14" s="10" t="inlineStr">
        <is>
          <t>Not-Executed</t>
        </is>
      </c>
      <c r="D14" s="21" t="inlineStr"/>
    </row>
  </sheetData>
  <mergeCells count="1">
    <mergeCell ref="F1:J1"/>
  </mergeCells>
  <conditionalFormatting sqref="C2:C14">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4" showDropDown="0" showInputMessage="0" showErrorMessage="0" allowBlank="1" type="list">
      <formula1>"Not-Executed,Passed,Failed,Blocker,N/A"</formula1>
    </dataValidation>
  </dataValidation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18"/>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X1 Auth &amp; Tenancy</t>
        </is>
      </c>
    </row>
    <row r="2">
      <c r="A2" s="19" t="n">
        <v>1</v>
      </c>
      <c r="B2" s="20" t="inlineStr">
        <is>
          <t>Verify that a user can sign in at the unified login and lands in the portal built for their role.</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invalid credentials show a clear error without revealing whether the email exists.</t>
        </is>
      </c>
      <c r="C3" s="10" t="inlineStr">
        <is>
          <t>Not-Executed</t>
        </is>
      </c>
      <c r="D3" s="21" t="inlineStr"/>
      <c r="F3" s="10">
        <f>COUNTA(B2:B18)</f>
        <v/>
      </c>
      <c r="G3" s="10">
        <f>COUNTIF(C2:C18,"Passed")</f>
        <v/>
      </c>
      <c r="H3" s="10">
        <f>COUNTIF(C2:C18,"Failed")</f>
        <v/>
      </c>
      <c r="I3" s="10">
        <f>COUNTIF(C2:C18,"Blocker")</f>
        <v/>
      </c>
      <c r="J3" s="10">
        <f>COUNTIF(C2:C18,"Not-Executed")</f>
        <v/>
      </c>
    </row>
    <row r="4">
      <c r="A4" s="19" t="n">
        <v>3</v>
      </c>
      <c r="B4" s="20" t="inlineStr">
        <is>
          <t>Verify that a school owner signing in lands on the admin dashboard with the full navigation.</t>
        </is>
      </c>
      <c r="C4" s="10" t="inlineStr">
        <is>
          <t>Not-Executed</t>
        </is>
      </c>
      <c r="D4" s="21" t="inlineStr"/>
    </row>
    <row r="5">
      <c r="A5" s="19" t="n">
        <v>4</v>
      </c>
      <c r="B5" s="20" t="inlineStr">
        <is>
          <t>Verify that a parent signing in can see only their own children's data.</t>
        </is>
      </c>
      <c r="C5" s="10" t="inlineStr">
        <is>
          <t>Not-Executed</t>
        </is>
      </c>
      <c r="D5" s="21" t="inlineStr"/>
    </row>
    <row r="6">
      <c r="A6" s="19" t="n">
        <v>5</v>
      </c>
      <c r="B6" s="20" t="inlineStr">
        <is>
          <t>Verify that a teacher cannot reach any finance view via a direct URL or deep link.</t>
        </is>
      </c>
      <c r="C6" s="10" t="inlineStr">
        <is>
          <t>Not-Executed</t>
        </is>
      </c>
      <c r="D6" s="21" t="inlineStr"/>
    </row>
    <row r="7">
      <c r="A7" s="19" t="n">
        <v>6</v>
      </c>
      <c r="B7" s="20" t="inlineStr">
        <is>
          <t>Verify that data belonging to one school is never visible to a user of another school.</t>
        </is>
      </c>
      <c r="C7" s="10" t="inlineStr">
        <is>
          <t>Not-Executed</t>
        </is>
      </c>
      <c r="D7" s="21" t="inlineStr"/>
    </row>
    <row r="8">
      <c r="A8" s="19" t="n">
        <v>7</v>
      </c>
      <c r="B8" s="20" t="inlineStr">
        <is>
          <t>Verify that a self-registered proprietor is held at the verification gate.</t>
        </is>
      </c>
      <c r="C8" s="10" t="inlineStr">
        <is>
          <t>Not-Executed</t>
        </is>
      </c>
      <c r="D8" s="21" t="inlineStr"/>
    </row>
    <row r="9">
      <c r="A9" s="19" t="n">
        <v>8</v>
      </c>
      <c r="B9" s="20" t="inlineStr">
        <is>
          <t>Verify that the verification screen shows school name, official email and documents submitted.</t>
        </is>
      </c>
      <c r="C9" s="10" t="inlineStr">
        <is>
          <t>Not-Executed</t>
        </is>
      </c>
      <c r="D9" s="21" t="inlineStr"/>
    </row>
    <row r="10">
      <c r="A10" s="19" t="n">
        <v>9</v>
      </c>
      <c r="B10" s="20" t="inlineStr">
        <is>
          <t>Verify that a rejected proprietor sees the reviewer's reason verbatim and can re-submit.</t>
        </is>
      </c>
      <c r="C10" s="10" t="inlineStr">
        <is>
          <t>Not-Executed</t>
        </is>
      </c>
      <c r="D10" s="21" t="inlineStr"/>
    </row>
    <row r="11">
      <c r="A11" s="19" t="n">
        <v>10</v>
      </c>
      <c r="B11" s="20" t="inlineStr">
        <is>
          <t>Verify that approving a school lifts the gate without requiring a new sign-in.</t>
        </is>
      </c>
      <c r="C11" s="10" t="inlineStr">
        <is>
          <t>Not-Executed</t>
        </is>
      </c>
      <c r="D11" s="21" t="inlineStr"/>
    </row>
    <row r="12">
      <c r="A12" s="19" t="n">
        <v>11</v>
      </c>
      <c r="B12" s="20" t="inlineStr">
        <is>
          <t>Verify that a suspended school's users are blocked from signing in immediately.</t>
        </is>
      </c>
      <c r="C12" s="10" t="inlineStr">
        <is>
          <t>Not-Executed</t>
        </is>
      </c>
      <c r="D12" s="21" t="inlineStr"/>
    </row>
    <row r="13">
      <c r="A13" s="19" t="n">
        <v>12</v>
      </c>
      <c r="B13" s="20" t="inlineStr">
        <is>
          <t>Verify that Sign out is always reachable from the verification gate.</t>
        </is>
      </c>
      <c r="C13" s="10" t="inlineStr">
        <is>
          <t>Not-Executed</t>
        </is>
      </c>
      <c r="D13" s="21" t="inlineStr"/>
    </row>
    <row r="14">
      <c r="A14" s="19" t="n">
        <v>13</v>
      </c>
      <c r="B14" s="20" t="inlineStr">
        <is>
          <t>Verify that the session times out after the configured idle period.</t>
        </is>
      </c>
      <c r="C14" s="10" t="inlineStr">
        <is>
          <t>Not-Executed</t>
        </is>
      </c>
      <c r="D14" s="21" t="inlineStr"/>
    </row>
    <row r="15">
      <c r="A15" s="19" t="n">
        <v>14</v>
      </c>
      <c r="B15" s="20" t="inlineStr">
        <is>
          <t>Verify that deep-linking to a view the role lacks shows a denied screen, not a crash.</t>
        </is>
      </c>
      <c r="C15" s="10" t="inlineStr">
        <is>
          <t>Not-Executed</t>
        </is>
      </c>
      <c r="D15" s="21" t="inlineStr"/>
    </row>
    <row r="16">
      <c r="A16" s="19" t="n">
        <v>15</v>
      </c>
      <c r="B16" s="20" t="inlineStr">
        <is>
          <t>Verify that switching branches re-scopes every module to the newly active branch.</t>
        </is>
      </c>
      <c r="C16" s="10" t="inlineStr">
        <is>
          <t>Not-Executed</t>
        </is>
      </c>
      <c r="D16" s="21" t="inlineStr"/>
    </row>
    <row r="17">
      <c r="A17" s="19" t="n">
        <v>16</v>
      </c>
      <c r="B17" s="20" t="inlineStr">
        <is>
          <t>Verify that a password reset link expires after use and cannot be replayed.</t>
        </is>
      </c>
      <c r="C17" s="10" t="inlineStr">
        <is>
          <t>Not-Executed</t>
        </is>
      </c>
      <c r="D17" s="21" t="inlineStr"/>
    </row>
    <row r="18">
      <c r="A18" s="19" t="n">
        <v>17</v>
      </c>
      <c r="B18" s="20" t="inlineStr">
        <is>
          <t>Verify that MFA is enforced for admin roles where configured.</t>
        </is>
      </c>
      <c r="C18" s="10" t="inlineStr">
        <is>
          <t>Not-Executed</t>
        </is>
      </c>
      <c r="D18" s="21" t="inlineStr"/>
    </row>
  </sheetData>
  <mergeCells count="1">
    <mergeCell ref="F1:J1"/>
  </mergeCells>
  <conditionalFormatting sqref="C2:C18">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8" showDropDown="0" showInputMessage="0" showErrorMessage="0" allowBlank="1" type="list">
      <formula1>"Not-Executed,Passed,Failed,Blocker,N/A"</formula1>
    </dataValidation>
  </dataValidation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14"/>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X2 Offline &amp; PWA</t>
        </is>
      </c>
    </row>
    <row r="2">
      <c r="A2" s="19" t="n">
        <v>1</v>
      </c>
      <c r="B2" s="20" t="inlineStr">
        <is>
          <t>Verify that the app can be installed to the device home screen from the browser.</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Verify that the installed app launches with the school's own branding and icon.</t>
        </is>
      </c>
      <c r="C3" s="10" t="inlineStr">
        <is>
          <t>Not-Executed</t>
        </is>
      </c>
      <c r="D3" s="21" t="inlineStr"/>
      <c r="F3" s="10">
        <f>COUNTA(B2:B14)</f>
        <v/>
      </c>
      <c r="G3" s="10">
        <f>COUNTIF(C2:C14,"Passed")</f>
        <v/>
      </c>
      <c r="H3" s="10">
        <f>COUNTIF(C2:C14,"Failed")</f>
        <v/>
      </c>
      <c r="I3" s="10">
        <f>COUNTIF(C2:C14,"Blocker")</f>
        <v/>
      </c>
      <c r="J3" s="10">
        <f>COUNTIF(C2:C14,"Not-Executed")</f>
        <v/>
      </c>
    </row>
    <row r="4">
      <c r="A4" s="19" t="n">
        <v>3</v>
      </c>
      <c r="B4" s="20" t="inlineStr">
        <is>
          <t>Verify that the app loads and renders while the device is fully offline.</t>
        </is>
      </c>
      <c r="C4" s="10" t="inlineStr">
        <is>
          <t>Not-Executed</t>
        </is>
      </c>
      <c r="D4" s="21" t="inlineStr"/>
    </row>
    <row r="5">
      <c r="A5" s="19" t="n">
        <v>4</v>
      </c>
      <c r="B5" s="20" t="inlineStr">
        <is>
          <t>Verify that a clear offline indicator is shown as soon as connectivity is lost.</t>
        </is>
      </c>
      <c r="C5" s="10" t="inlineStr">
        <is>
          <t>Not-Executed</t>
        </is>
      </c>
      <c r="D5" s="21" t="inlineStr"/>
    </row>
    <row r="6">
      <c r="A6" s="19" t="n">
        <v>5</v>
      </c>
      <c r="B6" s="20" t="inlineStr">
        <is>
          <t>Verify that attendance can be marked while offline.</t>
        </is>
      </c>
      <c r="C6" s="10" t="inlineStr">
        <is>
          <t>Not-Executed</t>
        </is>
      </c>
      <c r="D6" s="21" t="inlineStr"/>
    </row>
    <row r="7">
      <c r="A7" s="19" t="n">
        <v>6</v>
      </c>
      <c r="B7" s="20" t="inlineStr">
        <is>
          <t>Verify that offline changes sync automatically once connectivity returns.</t>
        </is>
      </c>
      <c r="C7" s="10" t="inlineStr">
        <is>
          <t>Not-Executed</t>
        </is>
      </c>
      <c r="D7" s="21" t="inlineStr"/>
    </row>
    <row r="8">
      <c r="A8" s="19" t="n">
        <v>7</v>
      </c>
      <c r="B8" s="20" t="inlineStr">
        <is>
          <t>Verify that no data is lost when the app is closed with offline changes pending.</t>
        </is>
      </c>
      <c r="C8" s="10" t="inlineStr">
        <is>
          <t>Not-Executed</t>
        </is>
      </c>
      <c r="D8" s="21" t="inlineStr"/>
    </row>
    <row r="9">
      <c r="A9" s="19" t="n">
        <v>8</v>
      </c>
      <c r="B9" s="20" t="inlineStr">
        <is>
          <t>Verify that a sync conflict resolves by the documented rule and is recorded in the audit log.</t>
        </is>
      </c>
      <c r="C9" s="10" t="inlineStr">
        <is>
          <t>Not-Executed</t>
        </is>
      </c>
      <c r="D9" s="21" t="inlineStr"/>
    </row>
    <row r="10">
      <c r="A10" s="19" t="n">
        <v>9</v>
      </c>
      <c r="B10" s="20" t="inlineStr">
        <is>
          <t>Verify that payment records survive an offline to online transition with zero loss.</t>
        </is>
      </c>
      <c r="C10" s="10" t="inlineStr">
        <is>
          <t>Not-Executed</t>
        </is>
      </c>
      <c r="D10" s="21" t="inlineStr"/>
    </row>
    <row r="11">
      <c r="A11" s="19" t="n">
        <v>10</v>
      </c>
      <c r="B11" s="20" t="inlineStr">
        <is>
          <t>Verify that the dashboard shows last-known figures with an offline last-updated marker.</t>
        </is>
      </c>
      <c r="C11" s="10" t="inlineStr">
        <is>
          <t>Not-Executed</t>
        </is>
      </c>
      <c r="D11" s="21" t="inlineStr"/>
    </row>
    <row r="12">
      <c r="A12" s="19" t="n">
        <v>11</v>
      </c>
      <c r="B12" s="20" t="inlineStr">
        <is>
          <t>Verify that actions requiring connectivity are disabled with an explanation while offline.</t>
        </is>
      </c>
      <c r="C12" s="10" t="inlineStr">
        <is>
          <t>Not-Executed</t>
        </is>
      </c>
      <c r="D12" s="21" t="inlineStr"/>
    </row>
    <row r="13">
      <c r="A13" s="19" t="n">
        <v>12</v>
      </c>
      <c r="B13" s="20" t="inlineStr">
        <is>
          <t>Verify that a service worker update does not discard unsynced local data.</t>
        </is>
      </c>
      <c r="C13" s="10" t="inlineStr">
        <is>
          <t>Not-Executed</t>
        </is>
      </c>
      <c r="D13" s="21" t="inlineStr"/>
    </row>
    <row r="14">
      <c r="A14" s="19" t="n">
        <v>13</v>
      </c>
      <c r="B14" s="20" t="inlineStr">
        <is>
          <t>Verify that the app recovers correctly after connectivity drops mid-submission.</t>
        </is>
      </c>
      <c r="C14" s="10" t="inlineStr">
        <is>
          <t>Not-Executed</t>
        </is>
      </c>
      <c r="D14" s="21" t="inlineStr"/>
    </row>
  </sheetData>
  <mergeCells count="1">
    <mergeCell ref="F1:J1"/>
  </mergeCells>
  <conditionalFormatting sqref="C2:C14">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14" showDropDown="0" showInputMessage="0" showErrorMessage="0" allowBlank="1" type="list">
      <formula1>"Not-Executed,Passed,Failed,Blocker,N/A"</formula1>
    </dataValidation>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23"/>
  <sheetViews>
    <sheetView showGridLines="0" workbookViewId="0">
      <pane ySplit="1" topLeftCell="A2" activePane="bottomLeft" state="frozen"/>
      <selection pane="bottomLeft" activeCell="A1" sqref="A1"/>
    </sheetView>
  </sheetViews>
  <sheetFormatPr baseColWidth="8" defaultRowHeight="15"/>
  <cols>
    <col width="6" customWidth="1" min="1" max="1"/>
    <col width="94" customWidth="1" min="2" max="2"/>
    <col width="16" customWidth="1" min="3" max="3"/>
    <col width="36" customWidth="1" min="4" max="4"/>
    <col width="19" customWidth="1" min="6" max="6"/>
    <col width="19" customWidth="1" min="7" max="7"/>
    <col width="19" customWidth="1" min="8" max="8"/>
    <col width="19" customWidth="1" min="9" max="9"/>
    <col width="19" customWidth="1" min="10" max="10"/>
  </cols>
  <sheetData>
    <row r="1" ht="26" customHeight="1">
      <c r="A1" s="2" t="inlineStr">
        <is>
          <t>S/N</t>
        </is>
      </c>
      <c r="B1" s="2" t="inlineStr">
        <is>
          <t>Test Scenario</t>
        </is>
      </c>
      <c r="C1" s="2" t="inlineStr">
        <is>
          <t>Status</t>
        </is>
      </c>
      <c r="D1" s="2" t="inlineStr">
        <is>
          <t>Comment</t>
        </is>
      </c>
      <c r="F1" s="18" t="inlineStr">
        <is>
          <t>CASPAA — Web / PWA · X3 Usability &amp; Accessibility</t>
        </is>
      </c>
    </row>
    <row r="2">
      <c r="A2" s="19" t="n">
        <v>1</v>
      </c>
      <c r="B2" s="20" t="inlineStr">
        <is>
          <t>Verify that users can navigate between screens and modules without confusion.</t>
        </is>
      </c>
      <c r="C2" s="10" t="inlineStr">
        <is>
          <t>Not-Executed</t>
        </is>
      </c>
      <c r="D2" s="21" t="inlineStr"/>
      <c r="F2" s="2" t="inlineStr">
        <is>
          <t>Total test scenarios</t>
        </is>
      </c>
      <c r="G2" s="2" t="inlineStr">
        <is>
          <t>Pass</t>
        </is>
      </c>
      <c r="H2" s="2" t="inlineStr">
        <is>
          <t>Fail</t>
        </is>
      </c>
      <c r="I2" s="2" t="inlineStr">
        <is>
          <t>Blocker</t>
        </is>
      </c>
      <c r="J2" s="2" t="inlineStr">
        <is>
          <t>Not-Executed</t>
        </is>
      </c>
    </row>
    <row r="3">
      <c r="A3" s="19" t="n">
        <v>2</v>
      </c>
      <c r="B3" s="20" t="inlineStr">
        <is>
          <t>Check for consistent design elements like fonts, colours and button styles throughout the app.</t>
        </is>
      </c>
      <c r="C3" s="10" t="inlineStr">
        <is>
          <t>Not-Executed</t>
        </is>
      </c>
      <c r="D3" s="21" t="inlineStr"/>
      <c r="F3" s="10">
        <f>COUNTA(B2:B23)</f>
        <v/>
      </c>
      <c r="G3" s="10">
        <f>COUNTIF(C2:C23,"Passed")</f>
        <v/>
      </c>
      <c r="H3" s="10">
        <f>COUNTIF(C2:C23,"Failed")</f>
        <v/>
      </c>
      <c r="I3" s="10">
        <f>COUNTIF(C2:C23,"Blocker")</f>
        <v/>
      </c>
      <c r="J3" s="10">
        <f>COUNTIF(C2:C23,"Not-Executed")</f>
        <v/>
      </c>
    </row>
    <row r="4">
      <c r="A4" s="19" t="n">
        <v>3</v>
      </c>
      <c r="B4" s="20" t="inlineStr">
        <is>
          <t>Ensure that the placement of buttons, icons and menus feels natural and intuitive.</t>
        </is>
      </c>
      <c r="C4" s="10" t="inlineStr">
        <is>
          <t>Not-Executed</t>
        </is>
      </c>
      <c r="D4" s="21" t="inlineStr"/>
    </row>
    <row r="5">
      <c r="A5" s="19" t="n">
        <v>4</v>
      </c>
      <c r="B5" s="20" t="inlineStr">
        <is>
          <t>Verify that error messages are clear, helpful and guide the user to resolve the issue.</t>
        </is>
      </c>
      <c r="C5" s="10" t="inlineStr">
        <is>
          <t>Not-Executed</t>
        </is>
      </c>
      <c r="D5" s="21" t="inlineStr"/>
    </row>
    <row r="6">
      <c r="A6" s="19" t="n">
        <v>5</v>
      </c>
      <c r="B6" s="20" t="inlineStr">
        <is>
          <t>Ensure text and background colours meet WCAG AA contrast standards.</t>
        </is>
      </c>
      <c r="C6" s="10" t="inlineStr">
        <is>
          <t>Not-Executed</t>
        </is>
      </c>
      <c r="D6" s="21" t="inlineStr"/>
    </row>
    <row r="7">
      <c r="A7" s="19" t="n">
        <v>6</v>
      </c>
      <c r="B7" s="20" t="inlineStr">
        <is>
          <t>Verify that status is never communicated by colour alone.</t>
        </is>
      </c>
      <c r="C7" s="10" t="inlineStr">
        <is>
          <t>Not-Executed</t>
        </is>
      </c>
      <c r="D7" s="21" t="inlineStr"/>
    </row>
    <row r="8">
      <c r="A8" s="19" t="n">
        <v>7</v>
      </c>
      <c r="B8" s="20" t="inlineStr">
        <is>
          <t>Verify that font sizes adjust correctly when the user changes device text size settings.</t>
        </is>
      </c>
      <c r="C8" s="10" t="inlineStr">
        <is>
          <t>Not-Executed</t>
        </is>
      </c>
      <c r="D8" s="21" t="inlineStr"/>
    </row>
    <row r="9">
      <c r="A9" s="19" t="n">
        <v>8</v>
      </c>
      <c r="B9" s="20" t="inlineStr">
        <is>
          <t>Verify that every form input has an associated visible label.</t>
        </is>
      </c>
      <c r="C9" s="10" t="inlineStr">
        <is>
          <t>Not-Executed</t>
        </is>
      </c>
      <c r="D9" s="21" t="inlineStr"/>
    </row>
    <row r="10">
      <c r="A10" s="19" t="n">
        <v>9</v>
      </c>
      <c r="B10" s="20" t="inlineStr">
        <is>
          <t>Verify that the interface is fully operable by keyboard alone.</t>
        </is>
      </c>
      <c r="C10" s="10" t="inlineStr">
        <is>
          <t>Not-Executed</t>
        </is>
      </c>
      <c r="D10" s="21" t="inlineStr"/>
    </row>
    <row r="11">
      <c r="A11" s="19" t="n">
        <v>10</v>
      </c>
      <c r="B11" s="20" t="inlineStr">
        <is>
          <t>Verify that users can easily access help and support when needed.</t>
        </is>
      </c>
      <c r="C11" s="10" t="inlineStr">
        <is>
          <t>Not-Executed</t>
        </is>
      </c>
      <c r="D11" s="21" t="inlineStr"/>
    </row>
    <row r="12">
      <c r="A12" s="19" t="n">
        <v>11</v>
      </c>
      <c r="B12" s="20" t="inlineStr">
        <is>
          <t>Test the ease of creating, logging into and managing user accounts.</t>
        </is>
      </c>
      <c r="C12" s="10" t="inlineStr">
        <is>
          <t>Not-Executed</t>
        </is>
      </c>
      <c r="D12" s="21" t="inlineStr"/>
    </row>
    <row r="13">
      <c r="A13" s="19" t="n">
        <v>12</v>
      </c>
      <c r="B13" s="20" t="inlineStr">
        <is>
          <t>Verify that touch inputs, swipes and gestures are responsive and smooth.</t>
        </is>
      </c>
      <c r="C13" s="10" t="inlineStr">
        <is>
          <t>Not-Executed</t>
        </is>
      </c>
      <c r="D13" s="21" t="inlineStr"/>
    </row>
    <row r="14">
      <c r="A14" s="19" t="n">
        <v>13</v>
      </c>
      <c r="B14" s="20" t="inlineStr">
        <is>
          <t>Verify that users receive immediate feedback for actions like button presses or submissions.</t>
        </is>
      </c>
      <c r="C14" s="10" t="inlineStr">
        <is>
          <t>Not-Executed</t>
        </is>
      </c>
      <c r="D14" s="21" t="inlineStr"/>
    </row>
    <row r="15">
      <c r="A15" s="19" t="n">
        <v>14</v>
      </c>
      <c r="B15" s="20" t="inlineStr">
        <is>
          <t>Ensure loading spinners or progress bars appear during data loading or processing.</t>
        </is>
      </c>
      <c r="C15" s="10" t="inlineStr">
        <is>
          <t>Not-Executed</t>
        </is>
      </c>
      <c r="D15" s="21" t="inlineStr"/>
    </row>
    <row r="16">
      <c r="A16" s="19" t="n">
        <v>15</v>
      </c>
      <c r="B16" s="20" t="inlineStr">
        <is>
          <t>Test the ease of applying and removing filters or sorting options on data tables.</t>
        </is>
      </c>
      <c r="C16" s="10" t="inlineStr">
        <is>
          <t>Not-Executed</t>
        </is>
      </c>
      <c r="D16" s="21" t="inlineStr"/>
    </row>
    <row r="17">
      <c r="A17" s="19" t="n">
        <v>16</v>
      </c>
      <c r="B17" s="20" t="inlineStr">
        <is>
          <t>Verify that search is easy to locate, use and returns relevant results.</t>
        </is>
      </c>
      <c r="C17" s="10" t="inlineStr">
        <is>
          <t>Not-Executed</t>
        </is>
      </c>
      <c r="D17" s="21" t="inlineStr"/>
    </row>
    <row r="18">
      <c r="A18" s="19" t="n">
        <v>17</v>
      </c>
      <c r="B18" s="20" t="inlineStr">
        <is>
          <t>Verify confirmation prompts appear for irreversible actions such as deleting a record.</t>
        </is>
      </c>
      <c r="C18" s="10" t="inlineStr">
        <is>
          <t>Not-Executed</t>
        </is>
      </c>
      <c r="D18" s="21" t="inlineStr"/>
    </row>
    <row r="19">
      <c r="A19" s="19" t="n">
        <v>18</v>
      </c>
      <c r="B19" s="20" t="inlineStr">
        <is>
          <t>Ensure the design and functionality are consistent across supported browsers and devices.</t>
        </is>
      </c>
      <c r="C19" s="10" t="inlineStr">
        <is>
          <t>Not-Executed</t>
        </is>
      </c>
      <c r="D19" s="21" t="inlineStr"/>
    </row>
    <row r="20">
      <c r="A20" s="19" t="n">
        <v>19</v>
      </c>
      <c r="B20" s="20" t="inlineStr">
        <is>
          <t>Verify that wide tables scroll within their own container without breaking the page layout.</t>
        </is>
      </c>
      <c r="C20" s="10" t="inlineStr">
        <is>
          <t>Not-Executed</t>
        </is>
      </c>
      <c r="D20" s="21" t="inlineStr"/>
    </row>
    <row r="21">
      <c r="A21" s="19" t="n">
        <v>20</v>
      </c>
      <c r="B21" s="20" t="inlineStr">
        <is>
          <t>Verify that every module handles empty, loading, error and success states.</t>
        </is>
      </c>
      <c r="C21" s="10" t="inlineStr">
        <is>
          <t>Not-Executed</t>
        </is>
      </c>
      <c r="D21" s="21" t="inlineStr"/>
    </row>
    <row r="22">
      <c r="A22" s="19" t="n">
        <v>21</v>
      </c>
      <c r="B22" s="20" t="inlineStr">
        <is>
          <t>Verify that the app is usable and legible on a small mid-range phone screen.</t>
        </is>
      </c>
      <c r="C22" s="10" t="inlineStr">
        <is>
          <t>Not-Executed</t>
        </is>
      </c>
      <c r="D22" s="21" t="inlineStr"/>
    </row>
    <row r="23">
      <c r="A23" s="19" t="n">
        <v>22</v>
      </c>
      <c r="B23" s="20" t="inlineStr">
        <is>
          <t>Verify that no console errors are produced during a full navigation pass.</t>
        </is>
      </c>
      <c r="C23" s="10" t="inlineStr">
        <is>
          <t>Not-Executed</t>
        </is>
      </c>
      <c r="D23" s="21" t="inlineStr"/>
    </row>
  </sheetData>
  <mergeCells count="1">
    <mergeCell ref="F1:J1"/>
  </mergeCells>
  <conditionalFormatting sqref="C2:C23">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1">
    <dataValidation sqref="C2:C23" showDropDown="0" showInputMessage="0" showErrorMessage="0" allowBlank="1" type="list">
      <formula1>"Not-Executed,Passed,Failed,Blocker,N/A"</formula1>
    </dataValidation>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59"/>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40" customWidth="1" min="3" max="3"/>
    <col width="9" customWidth="1" min="4" max="4"/>
    <col width="14" customWidth="1" min="5" max="5"/>
    <col width="34" customWidth="1" min="6" max="6"/>
    <col width="48" customWidth="1" min="7" max="7"/>
    <col width="26" customWidth="1" min="8" max="8"/>
    <col width="52" customWidth="1" min="9" max="9"/>
    <col width="22" customWidth="1" min="10" max="10"/>
    <col width="15" customWidth="1" min="11" max="11"/>
    <col width="22" customWidth="1" min="12" max="12"/>
  </cols>
  <sheetData>
    <row r="1" ht="30" customHeight="1">
      <c r="A1" s="2" t="inlineStr">
        <is>
          <t>Test Case ID</t>
        </is>
      </c>
      <c r="B1" s="2" t="inlineStr">
        <is>
          <t>Module</t>
        </is>
      </c>
      <c r="C1" s="2" t="inlineStr">
        <is>
          <t>Title / Objective</t>
        </is>
      </c>
      <c r="D1" s="2" t="inlineStr">
        <is>
          <t>Priority</t>
        </is>
      </c>
      <c r="E1" s="2" t="inlineStr">
        <is>
          <t>Type</t>
        </is>
      </c>
      <c r="F1" s="2" t="inlineStr">
        <is>
          <t>Preconditions</t>
        </is>
      </c>
      <c r="G1" s="2" t="inlineStr">
        <is>
          <t>Test Steps</t>
        </is>
      </c>
      <c r="H1" s="2" t="inlineStr">
        <is>
          <t>Test Data</t>
        </is>
      </c>
      <c r="I1" s="2" t="inlineStr">
        <is>
          <t>Expected Result</t>
        </is>
      </c>
      <c r="J1" s="2" t="inlineStr">
        <is>
          <t>Actual Result</t>
        </is>
      </c>
      <c r="K1" s="2" t="inlineStr">
        <is>
          <t>Status</t>
        </is>
      </c>
      <c r="L1" s="2" t="inlineStr">
        <is>
          <t>Comment</t>
        </is>
      </c>
    </row>
    <row r="2" ht="100" customHeight="1">
      <c r="A2" s="10" t="inlineStr">
        <is>
          <t>TC_AUTH_001</t>
        </is>
      </c>
      <c r="B2" s="20" t="inlineStr">
        <is>
          <t>X1 Auth</t>
        </is>
      </c>
      <c r="C2" s="20" t="inlineStr">
        <is>
          <t>Role-aware login routes each user to the correct portal</t>
        </is>
      </c>
      <c r="D2" s="4" t="inlineStr">
        <is>
          <t>High</t>
        </is>
      </c>
      <c r="E2" s="4" t="inlineStr">
        <is>
          <t>Functional</t>
        </is>
      </c>
      <c r="F2" s="20" t="inlineStr">
        <is>
          <t>A school is Active. Owner, teacher and parent accounts exist for it.</t>
        </is>
      </c>
      <c r="G2" s="20" t="inlineStr">
        <is>
          <t>1. Open the school's CASPAA URL.
2. Sign in as the owner.
3. Note the landing view and nav.
4. Sign out.
5. Repeat as the teacher, then the parent.</t>
        </is>
      </c>
      <c r="H2" s="20" t="inlineStr">
        <is>
          <t>owner@school.test / teacher@school.test / parent@school.test</t>
        </is>
      </c>
      <c r="I2" s="20" t="inlineStr">
        <is>
          <t>Owner lands on the admin dashboard with full nav. Teacher lands on the teacher dashboard with no finance nav. Parent lands on the parent dashboard showing only their own children.</t>
        </is>
      </c>
      <c r="J2" s="20" t="inlineStr"/>
      <c r="K2" s="10" t="inlineStr">
        <is>
          <t>Not-Executed</t>
        </is>
      </c>
      <c r="L2" s="20" t="inlineStr"/>
    </row>
    <row r="3" ht="100" customHeight="1">
      <c r="A3" s="10" t="inlineStr">
        <is>
          <t>TC_AUTH_002</t>
        </is>
      </c>
      <c r="B3" s="20" t="inlineStr">
        <is>
          <t>X1 Auth</t>
        </is>
      </c>
      <c r="C3" s="20" t="inlineStr">
        <is>
          <t>Cross-tenant data isolation is enforced</t>
        </is>
      </c>
      <c r="D3" s="4" t="inlineStr">
        <is>
          <t>High</t>
        </is>
      </c>
      <c r="E3" s="4" t="inlineStr">
        <is>
          <t>Security</t>
        </is>
      </c>
      <c r="F3" s="20" t="inlineStr">
        <is>
          <t>Two schools, A and B, each with students.</t>
        </is>
      </c>
      <c r="G3" s="20" t="inlineStr">
        <is>
          <t>1. Sign in as the School A admin.
2. Obtain a School B student record ID.
3. Deep-link to the student detail view with School B's ID.
4. Observe the response.</t>
        </is>
      </c>
      <c r="H3" s="20" t="inlineStr">
        <is>
          <t>School A admin; School B student ID stu_b_0001</t>
        </is>
      </c>
      <c r="I3" s="20" t="inlineStr">
        <is>
          <t>The record is not returned. An access-denied or not-found screen renders. No School B data appears and the attempt is audited.</t>
        </is>
      </c>
      <c r="J3" s="20" t="inlineStr"/>
      <c r="K3" s="10" t="inlineStr">
        <is>
          <t>Not-Executed</t>
        </is>
      </c>
      <c r="L3" s="20" t="inlineStr"/>
    </row>
    <row r="4" ht="100" customHeight="1">
      <c r="A4" s="10" t="inlineStr">
        <is>
          <t>TC_AUTH_003</t>
        </is>
      </c>
      <c r="B4" s="20" t="inlineStr">
        <is>
          <t>X1 Auth</t>
        </is>
      </c>
      <c r="C4" s="20" t="inlineStr">
        <is>
          <t>Verification gate blocks an unverified proprietor</t>
        </is>
      </c>
      <c r="D4" s="4" t="inlineStr">
        <is>
          <t>High</t>
        </is>
      </c>
      <c r="E4" s="4" t="inlineStr">
        <is>
          <t>Negative</t>
        </is>
      </c>
      <c r="F4" s="20" t="inlineStr">
        <is>
          <t>A proprietor has self-registered; verification status is pending.</t>
        </is>
      </c>
      <c r="G4" s="20" t="inlineStr">
        <is>
          <t>1. Sign in as the pending proprietor.
2. Observe the landing screen.
3. Deep-link to the admin dashboard URL.
4. Deep-link to the finance view.</t>
        </is>
      </c>
      <c r="H4" s="20" t="inlineStr">
        <is>
          <t>pending.proprietor@school.test</t>
        </is>
      </c>
      <c r="I4" s="20" t="inlineStr">
        <is>
          <t>The verification screen renders every time. School name, official email and documents are shown. No module is reachable by deep link. Sign out remains available.</t>
        </is>
      </c>
      <c r="J4" s="20" t="inlineStr"/>
      <c r="K4" s="10" t="inlineStr">
        <is>
          <t>Not-Executed</t>
        </is>
      </c>
      <c r="L4" s="20" t="inlineStr"/>
    </row>
    <row r="5" ht="100" customHeight="1">
      <c r="A5" s="10" t="inlineStr">
        <is>
          <t>TC_STU_001</t>
        </is>
      </c>
      <c r="B5" s="20" t="inlineStr">
        <is>
          <t>M01 Students</t>
        </is>
      </c>
      <c r="C5" s="20" t="inlineStr">
        <is>
          <t>Duplicate admission number is rejected</t>
        </is>
      </c>
      <c r="D5" s="4" t="inlineStr">
        <is>
          <t>High</t>
        </is>
      </c>
      <c r="E5" s="4" t="inlineStr">
        <is>
          <t>Negative</t>
        </is>
      </c>
      <c r="F5" s="20" t="inlineStr">
        <is>
          <t>A student already exists with admission number ADM/2026/001.</t>
        </is>
      </c>
      <c r="G5" s="20" t="inlineStr">
        <is>
          <t>1. Sign in as admin.
2. Students &gt; Add Student.
3. Complete all required fields.
4. Enter admission number ADM/2026/001.
5. Save.</t>
        </is>
      </c>
      <c r="H5" s="20" t="inlineStr">
        <is>
          <t>Name Test Child; Class JSS1A; Adm no ADM/2026/001</t>
        </is>
      </c>
      <c r="I5" s="20" t="inlineStr">
        <is>
          <t>A validation error states the admission number is in use. The student is not created and no partial record is written.</t>
        </is>
      </c>
      <c r="J5" s="20" t="inlineStr"/>
      <c r="K5" s="10" t="inlineStr">
        <is>
          <t>Not-Executed</t>
        </is>
      </c>
      <c r="L5" s="20" t="inlineStr"/>
    </row>
    <row r="6" ht="100" customHeight="1">
      <c r="A6" s="10" t="inlineStr">
        <is>
          <t>TC_STU_002</t>
        </is>
      </c>
      <c r="B6" s="20" t="inlineStr">
        <is>
          <t>M01 Students</t>
        </is>
      </c>
      <c r="C6" s="20" t="inlineStr">
        <is>
          <t>New student propagates to roster, attendance and fees</t>
        </is>
      </c>
      <c r="D6" s="4" t="inlineStr">
        <is>
          <t>High</t>
        </is>
      </c>
      <c r="E6" s="4" t="inlineStr">
        <is>
          <t>Functional</t>
        </is>
      </c>
      <c r="F6" s="20" t="inlineStr">
        <is>
          <t>Class JSS1A exists with an active fee structure for the term.</t>
        </is>
      </c>
      <c r="G6" s="20" t="inlineStr">
        <is>
          <t>1. Add a student to JSS1A with a linked parent and save.
2. Open the JSS1A roster.
3. Open Attendance for JSS1A.
4. Open Finance &gt; Invoices filtered to JSS1A.
5. Sign in as the linked parent.</t>
        </is>
      </c>
      <c r="H6" s="20" t="inlineStr">
        <is>
          <t>Name Ada Obi; Class JSS1A; Parent parent@school.test</t>
        </is>
      </c>
      <c r="I6" s="20" t="inlineStr">
        <is>
          <t>The student appears in roster, attendance and fees immediately. The parent receives an in-app notification and sees the child on their dashboard.</t>
        </is>
      </c>
      <c r="J6" s="20" t="inlineStr"/>
      <c r="K6" s="10" t="inlineStr">
        <is>
          <t>Not-Executed</t>
        </is>
      </c>
      <c r="L6" s="20" t="inlineStr"/>
    </row>
    <row r="7" ht="100" customHeight="1">
      <c r="A7" s="10" t="inlineStr">
        <is>
          <t>TC_STU_003</t>
        </is>
      </c>
      <c r="B7" s="20" t="inlineStr">
        <is>
          <t>M01 Students</t>
        </is>
      </c>
      <c r="C7" s="20" t="inlineStr">
        <is>
          <t>Bulk CSV import is transactional per row</t>
        </is>
      </c>
      <c r="D7" s="4" t="inlineStr">
        <is>
          <t>Medium</t>
        </is>
      </c>
      <c r="E7" s="4" t="inlineStr">
        <is>
          <t>Functional</t>
        </is>
      </c>
      <c r="F7" s="20" t="inlineStr">
        <is>
          <t>A CSV of 10 students where rows 4 and 7 are invalid.</t>
        </is>
      </c>
      <c r="G7" s="20" t="inlineStr">
        <is>
          <t>1. Students &gt; Bulk Import CSV.
2. Upload the CSV.
3. Review the preview.
4. Confirm the import.
5. Check the student list.</t>
        </is>
      </c>
      <c r="H7" s="20" t="inlineStr">
        <is>
          <t>students_10rows.csv (rows 4, 7 invalid)</t>
        </is>
      </c>
      <c r="I7" s="20" t="inlineStr">
        <is>
          <t>Preview flags rows 4 and 7 with a specific reason each. On confirm 8 students import and 2 are reported skipped. Valid rows are unaffected.</t>
        </is>
      </c>
      <c r="J7" s="20" t="inlineStr"/>
      <c r="K7" s="10" t="inlineStr">
        <is>
          <t>Not-Executed</t>
        </is>
      </c>
      <c r="L7" s="20" t="inlineStr"/>
    </row>
    <row r="8" ht="100" customHeight="1">
      <c r="A8" s="10" t="inlineStr">
        <is>
          <t>TC_ACA_001</t>
        </is>
      </c>
      <c r="B8" s="20" t="inlineStr">
        <is>
          <t>M02 Academic</t>
        </is>
      </c>
      <c r="C8" s="20" t="inlineStr">
        <is>
          <t>Timetable clash for one teacher is surfaced</t>
        </is>
      </c>
      <c r="D8" s="4" t="inlineStr">
        <is>
          <t>Medium</t>
        </is>
      </c>
      <c r="E8" s="4" t="inlineStr">
        <is>
          <t>Negative</t>
        </is>
      </c>
      <c r="F8" s="20" t="inlineStr">
        <is>
          <t>Two classes exist and one teacher is assigned to both.</t>
        </is>
      </c>
      <c r="G8" s="20" t="inlineStr">
        <is>
          <t>1. Academic &gt; Timetable.
2. Assign the teacher to JSS1A period 3 Monday.
3. Assign the same teacher to JSS2A period 3 Monday.
4. Save and observe.</t>
        </is>
      </c>
      <c r="H8" s="20" t="inlineStr">
        <is>
          <t>Teacher Mr Okoro; Monday period 3</t>
        </is>
      </c>
      <c r="I8" s="20" t="inlineStr">
        <is>
          <t>The clash is surfaced before or on save, naming the teacher, day and period. The conflicting assignment is not silently accepted.</t>
        </is>
      </c>
      <c r="J8" s="20" t="inlineStr"/>
      <c r="K8" s="10" t="inlineStr">
        <is>
          <t>Not-Executed</t>
        </is>
      </c>
      <c r="L8" s="20" t="inlineStr"/>
    </row>
    <row r="9" ht="100" customHeight="1">
      <c r="A9" s="10" t="inlineStr">
        <is>
          <t>TC_ATT_001</t>
        </is>
      </c>
      <c r="B9" s="20" t="inlineStr">
        <is>
          <t>M03 Attendance</t>
        </is>
      </c>
      <c r="C9" s="20" t="inlineStr">
        <is>
          <t>Absence triggers a same-day parent alert</t>
        </is>
      </c>
      <c r="D9" s="4" t="inlineStr">
        <is>
          <t>High</t>
        </is>
      </c>
      <c r="E9" s="4" t="inlineStr">
        <is>
          <t>Functional</t>
        </is>
      </c>
      <c r="F9" s="20" t="inlineStr">
        <is>
          <t>Teacher assigned to JSS1A; at least one student has a linked parent; absence trigger on.</t>
        </is>
      </c>
      <c r="G9" s="20" t="inlineStr">
        <is>
          <t>1. Sign in as the class teacher.
2. Attendance &gt; JSS1A.
3. Toggle one student to Absent.
4. Submit.
5. Sign in as that parent and open notifications.</t>
        </is>
      </c>
      <c r="H9" s="20" t="inlineStr">
        <is>
          <t>Class JSS1A; Student Ada Obi</t>
        </is>
      </c>
      <c r="I9" s="20" t="inlineStr">
        <is>
          <t>The register saves. The absent student's parent is alerted the same day naming child and date. Parents of present students receive nothing.</t>
        </is>
      </c>
      <c r="J9" s="20" t="inlineStr"/>
      <c r="K9" s="10" t="inlineStr">
        <is>
          <t>Not-Executed</t>
        </is>
      </c>
      <c r="L9" s="20" t="inlineStr"/>
    </row>
    <row r="10" ht="100" customHeight="1">
      <c r="A10" s="10" t="inlineStr">
        <is>
          <t>TC_ATT_002</t>
        </is>
      </c>
      <c r="B10" s="20" t="inlineStr">
        <is>
          <t>M03 Attendance</t>
        </is>
      </c>
      <c r="C10" s="20" t="inlineStr">
        <is>
          <t>Offline attendance syncs without duplicating</t>
        </is>
      </c>
      <c r="D10" s="4" t="inlineStr">
        <is>
          <t>High</t>
        </is>
      </c>
      <c r="E10" s="4" t="inlineStr">
        <is>
          <t>Functional</t>
        </is>
      </c>
      <c r="F10" s="20" t="inlineStr">
        <is>
          <t>PWA installed; teacher signed in and assigned to JSS1A.</t>
        </is>
      </c>
      <c r="G10" s="20" t="inlineStr">
        <is>
          <t>1. Enable airplane mode.
2. Open Attendance for JSS1A.
3. Mark two students Absent and submit.
4. Confirm the queued offline state.
5. Restore connectivity.
6. Wait for sync and reload.</t>
        </is>
      </c>
      <c r="H10" s="20" t="inlineStr">
        <is>
          <t>Class JSS1A; today's date</t>
        </is>
      </c>
      <c r="I10" s="20" t="inlineStr">
        <is>
          <t>Submission queues offline and syncs on reconnect. Exactly one record exists for that class and date, both absences intact, parent alerts sent once.</t>
        </is>
      </c>
      <c r="J10" s="20" t="inlineStr"/>
      <c r="K10" s="10" t="inlineStr">
        <is>
          <t>Not-Executed</t>
        </is>
      </c>
      <c r="L10" s="20" t="inlineStr"/>
    </row>
    <row r="11" ht="100" customHeight="1">
      <c r="A11" s="10" t="inlineStr">
        <is>
          <t>TC_RES_001</t>
        </is>
      </c>
      <c r="B11" s="20" t="inlineStr">
        <is>
          <t>M04 Results</t>
        </is>
      </c>
      <c r="C11" s="20" t="inlineStr">
        <is>
          <t>Unapproved results are invisible to parents and students</t>
        </is>
      </c>
      <c r="D11" s="4" t="inlineStr">
        <is>
          <t>High</t>
        </is>
      </c>
      <c r="E11" s="4" t="inlineStr">
        <is>
          <t>Security</t>
        </is>
      </c>
      <c r="F11" s="20" t="inlineStr">
        <is>
          <t>A teacher has submitted but not had approved JSS1A Mathematics results.</t>
        </is>
      </c>
      <c r="G11" s="20" t="inlineStr">
        <is>
          <t>1. Enter and submit JSS1A Mathematics results as the teacher.
2. Sign in as a JSS1A parent and open Results.
3. Sign in as a JSS1A student and open My Results.
4. Deep-link to the result record ID as the parent.</t>
        </is>
      </c>
      <c r="H11" s="20" t="inlineStr">
        <is>
          <t>Class JSS1A; Subject Mathematics; CA 28, Exam 55</t>
        </is>
      </c>
      <c r="I11" s="20" t="inlineStr">
        <is>
          <t>Neither parent nor student sees any score. An amber pending banner shows instead. The deep link returns no result data.</t>
        </is>
      </c>
      <c r="J11" s="20" t="inlineStr"/>
      <c r="K11" s="10" t="inlineStr">
        <is>
          <t>Not-Executed</t>
        </is>
      </c>
      <c r="L11" s="20" t="inlineStr"/>
    </row>
    <row r="12" ht="100" customHeight="1">
      <c r="A12" s="10" t="inlineStr">
        <is>
          <t>TC_RES_002</t>
        </is>
      </c>
      <c r="B12" s="20" t="inlineStr">
        <is>
          <t>M04 Results</t>
        </is>
      </c>
      <c r="C12" s="20" t="inlineStr">
        <is>
          <t>Approval requires a comment for every student</t>
        </is>
      </c>
      <c r="D12" s="4" t="inlineStr">
        <is>
          <t>High</t>
        </is>
      </c>
      <c r="E12" s="4" t="inlineStr">
        <is>
          <t>Negative</t>
        </is>
      </c>
      <c r="F12" s="20" t="inlineStr">
        <is>
          <t>JSS1A Mathematics results pending; 20 students, 19 have comments.</t>
        </is>
      </c>
      <c r="G12" s="20" t="inlineStr">
        <is>
          <t>1. Sign in as admin.
2. Open the pending JSS1A Mathematics broadsheet.
3. Leave one student without a comment.
4. Attempt Approve.
5. Add the missing comment.
6. Approve.</t>
        </is>
      </c>
      <c r="H12" s="20" t="inlineStr">
        <is>
          <t>Class JSS1A, 20 students</t>
        </is>
      </c>
      <c r="I12" s="20" t="inlineStr">
        <is>
          <t>Approve is disabled while a comment is missing, with the reason shown. Once complete, Approve succeeds and parents and students are notified exactly once.</t>
        </is>
      </c>
      <c r="J12" s="20" t="inlineStr"/>
      <c r="K12" s="10" t="inlineStr">
        <is>
          <t>Not-Executed</t>
        </is>
      </c>
      <c r="L12" s="20" t="inlineStr"/>
    </row>
    <row r="13" ht="100" customHeight="1">
      <c r="A13" s="10" t="inlineStr">
        <is>
          <t>TC_RES_003</t>
        </is>
      </c>
      <c r="B13" s="20" t="inlineStr">
        <is>
          <t>M04 Results</t>
        </is>
      </c>
      <c r="C13" s="20" t="inlineStr">
        <is>
          <t>Tied averages share a rank and the next rank skips</t>
        </is>
      </c>
      <c r="D13" s="4" t="inlineStr">
        <is>
          <t>Medium</t>
        </is>
      </c>
      <c r="E13" s="4" t="inlineStr">
        <is>
          <t>Functional</t>
        </is>
      </c>
      <c r="F13" s="20" t="inlineStr">
        <is>
          <t>Results entered where two students share an identical average.</t>
        </is>
      </c>
      <c r="G13" s="20" t="inlineStr">
        <is>
          <t>1. Enter results producing averages 82, 78, 78, 71.
2. Submit and approve.
3. Open the broadsheet.
4. Open both tied students' report cards.</t>
        </is>
      </c>
      <c r="H13" s="20" t="inlineStr">
        <is>
          <t>Averages 82, 78, 78, 71</t>
        </is>
      </c>
      <c r="I13" s="20" t="inlineStr">
        <is>
          <t>Ranks read 1, 2, 2, 4. Both tied students show rank 2 and rank 3 is skipped. Report cards match the broadsheet.</t>
        </is>
      </c>
      <c r="J13" s="20" t="inlineStr"/>
      <c r="K13" s="10" t="inlineStr">
        <is>
          <t>Not-Executed</t>
        </is>
      </c>
      <c r="L13" s="20" t="inlineStr"/>
    </row>
    <row r="14" ht="100" customHeight="1">
      <c r="A14" s="10" t="inlineStr">
        <is>
          <t>TC_FIN_001</t>
        </is>
      </c>
      <c r="B14" s="20" t="inlineStr">
        <is>
          <t>M05 Finance</t>
        </is>
      </c>
      <c r="C14" s="20" t="inlineStr">
        <is>
          <t>Ledger itemises every charge, discount and payment</t>
        </is>
      </c>
      <c r="D14" s="4" t="inlineStr">
        <is>
          <t>High</t>
        </is>
      </c>
      <c r="E14" s="4" t="inlineStr">
        <is>
          <t>Functional</t>
        </is>
      </c>
      <c r="F14" s="20" t="inlineStr">
        <is>
          <t>A student with an opening balance, a 3-item invoice, a sibling discount and one part payment.</t>
        </is>
      </c>
      <c r="G14" s="20" t="inlineStr">
        <is>
          <t>1. Sign in as finance.
2. Open the student ledger.
3. Inspect every row and date.
4. Note the running balance per row.
5. Compare against invoice and payment records.</t>
        </is>
      </c>
      <c r="H14" s="20" t="inlineStr">
        <is>
          <t>Opening 15,000; Tuition 120,000; Bus 30,000; Books 10,000; Discount 12,000; Payment 80,000</t>
        </is>
      </c>
      <c r="I14" s="20" t="inlineStr">
        <is>
          <t>All 6 movements appear as separate dated rows, nothing lumped. Running balance updates line by line and ends at 83,000. The discount is a distinct credit line.</t>
        </is>
      </c>
      <c r="J14" s="20" t="inlineStr"/>
      <c r="K14" s="10" t="inlineStr">
        <is>
          <t>Not-Executed</t>
        </is>
      </c>
      <c r="L14" s="20" t="inlineStr"/>
    </row>
    <row r="15" ht="100" customHeight="1">
      <c r="A15" s="10" t="inlineStr">
        <is>
          <t>TC_FIN_002</t>
        </is>
      </c>
      <c r="B15" s="20" t="inlineStr">
        <is>
          <t>M05 Finance</t>
        </is>
      </c>
      <c r="C15" s="20" t="inlineStr">
        <is>
          <t>Ledger invariant debit minus credit equals balance</t>
        </is>
      </c>
      <c r="D15" s="4" t="inlineStr">
        <is>
          <t>High</t>
        </is>
      </c>
      <c r="E15" s="4" t="inlineStr">
        <is>
          <t>Functional</t>
        </is>
      </c>
      <c r="F15" s="20" t="inlineStr">
        <is>
          <t>At least 20 students with mixed invoices, discounts, payments and credits.</t>
        </is>
      </c>
      <c r="G15" s="20" t="inlineStr">
        <is>
          <t>1. Sign in as finance.
2. Open each of 20 student ledgers.
3. Record debit total, credit total and closing balance.
4. Assert debit minus credit equals balance for each.</t>
        </is>
      </c>
      <c r="H15" s="20" t="inlineStr">
        <is>
          <t>20 accounts across 3 classes</t>
        </is>
      </c>
      <c r="I15" s="20" t="inlineStr">
        <is>
          <t>The invariant holds for all 20 with no rounding drift. No student shows a balance inconsistent with their rows.</t>
        </is>
      </c>
      <c r="J15" s="20" t="inlineStr"/>
      <c r="K15" s="10" t="inlineStr">
        <is>
          <t>Not-Executed</t>
        </is>
      </c>
      <c r="L15" s="20" t="inlineStr"/>
    </row>
    <row r="16" ht="100" customHeight="1">
      <c r="A16" s="10" t="inlineStr">
        <is>
          <t>TC_FIN_003</t>
        </is>
      </c>
      <c r="B16" s="20" t="inlineStr">
        <is>
          <t>M05 Finance</t>
        </is>
      </c>
      <c r="C16" s="20" t="inlineStr">
        <is>
          <t>Overpayment becomes credit and auto-applies to the next invoice</t>
        </is>
      </c>
      <c r="D16" s="4" t="inlineStr">
        <is>
          <t>High</t>
        </is>
      </c>
      <c r="E16" s="4" t="inlineStr">
        <is>
          <t>Functional</t>
        </is>
      </c>
      <c r="F16" s="20" t="inlineStr">
        <is>
          <t>A student with one outstanding invoice of 50,000 and no credit balance.</t>
        </is>
      </c>
      <c r="G16" s="20" t="inlineStr">
        <is>
          <t>1. Record a payment of 65,000 against the invoice.
2. Open the ledger and wallet.
3. Generate next term's invoice for that student.
4. Re-open the ledger.
5. Check the parent's notifications.</t>
        </is>
      </c>
      <c r="H16" s="20" t="inlineStr">
        <is>
          <t>Invoice 50,000; Payment 65,000; Next invoice 120,000</t>
        </is>
      </c>
      <c r="I16" s="20" t="inlineStr">
        <is>
          <t>Invoice clears. Credit shows as 15,000 Cr. On the next invoice the credit auto-applies leaving 105,000 due and the parent is notified.</t>
        </is>
      </c>
      <c r="J16" s="20" t="inlineStr"/>
      <c r="K16" s="10" t="inlineStr">
        <is>
          <t>Not-Executed</t>
        </is>
      </c>
      <c r="L16" s="20" t="inlineStr"/>
    </row>
    <row r="17" ht="100" customHeight="1">
      <c r="A17" s="10" t="inlineStr">
        <is>
          <t>TC_PAY_001</t>
        </is>
      </c>
      <c r="B17" s="20" t="inlineStr">
        <is>
          <t>M06 Payments</t>
        </is>
      </c>
      <c r="C17" s="20" t="inlineStr">
        <is>
          <t>Successful card payment clears the invoice and issues a receipt</t>
        </is>
      </c>
      <c r="D17" s="4" t="inlineStr">
        <is>
          <t>High</t>
        </is>
      </c>
      <c r="E17" s="4" t="inlineStr">
        <is>
          <t>Functional</t>
        </is>
      </c>
      <c r="F17" s="20" t="inlineStr">
        <is>
          <t>A parent with one outstanding invoice; gateway in test mode.</t>
        </is>
      </c>
      <c r="G17" s="20" t="inlineStr">
        <is>
          <t>1. Sign in as the parent.
2. Fees &gt; Pay Now.
3. Select Card.
4. Enter the test card and complete OTP.
5. Return to Fees.
6. Open and print the receipt.</t>
        </is>
      </c>
      <c r="H17" s="20" t="inlineStr">
        <is>
          <t>Card 4084 0840 8408 4081; OTP 123456; Amount 50,000</t>
        </is>
      </c>
      <c r="I17" s="20" t="inlineStr">
        <is>
          <t>Payment succeeds, invoice becomes Paid with zero balance, and a branded receipt with a unique reference is immediately available and printable.</t>
        </is>
      </c>
      <c r="J17" s="20" t="inlineStr"/>
      <c r="K17" s="10" t="inlineStr">
        <is>
          <t>Not-Executed</t>
        </is>
      </c>
      <c r="L17" s="20" t="inlineStr"/>
    </row>
    <row r="18" ht="100" customHeight="1">
      <c r="A18" s="10" t="inlineStr">
        <is>
          <t>TC_PAY_002</t>
        </is>
      </c>
      <c r="B18" s="20" t="inlineStr">
        <is>
          <t>M06 Payments</t>
        </is>
      </c>
      <c r="C18" s="20" t="inlineStr">
        <is>
          <t>Double submission does not double-charge</t>
        </is>
      </c>
      <c r="D18" s="4" t="inlineStr">
        <is>
          <t>High</t>
        </is>
      </c>
      <c r="E18" s="4" t="inlineStr">
        <is>
          <t>Negative</t>
        </is>
      </c>
      <c r="F18" s="20" t="inlineStr">
        <is>
          <t>A parent with one outstanding invoice of 50,000.</t>
        </is>
      </c>
      <c r="G18" s="20" t="inlineStr">
        <is>
          <t>1. Sign in as the parent and tap Pay Now.
2. Complete the payment form.
3. Double-tap Submit, or resend with the same reference.
4. Check the ledger and finance payments list.</t>
        </is>
      </c>
      <c r="H18" s="20" t="inlineStr">
        <is>
          <t>Invoice 50,000; same idempotency reference twice</t>
        </is>
      </c>
      <c r="I18" s="20" t="inlineStr">
        <is>
          <t>Exactly one payment of 50,000 is recorded. The parent is charged once, the ledger shows one credit row, and no duplicate receipt is generated.</t>
        </is>
      </c>
      <c r="J18" s="20" t="inlineStr"/>
      <c r="K18" s="10" t="inlineStr">
        <is>
          <t>Not-Executed</t>
        </is>
      </c>
      <c r="L18" s="20" t="inlineStr"/>
    </row>
    <row r="19" ht="100" customHeight="1">
      <c r="A19" s="10" t="inlineStr">
        <is>
          <t>TC_PAY_003</t>
        </is>
      </c>
      <c r="B19" s="20" t="inlineStr">
        <is>
          <t>M06 Payments</t>
        </is>
      </c>
      <c r="C19" s="20" t="inlineStr">
        <is>
          <t>Parent cannot pay another family's invoice</t>
        </is>
      </c>
      <c r="D19" s="4" t="inlineStr">
        <is>
          <t>High</t>
        </is>
      </c>
      <c r="E19" s="4" t="inlineStr">
        <is>
          <t>Security</t>
        </is>
      </c>
      <c r="F19" s="20" t="inlineStr">
        <is>
          <t>Two parents P1 and P2, each with an outstanding invoice.</t>
        </is>
      </c>
      <c r="G19" s="20" t="inlineStr">
        <is>
          <t>1. Sign in as P1.
2. Capture P2's invoice ID.
3. Deep-link to the payment flow with P2's invoice ID.
4. Attempt to submit a payment.</t>
        </is>
      </c>
      <c r="H19" s="20" t="inlineStr">
        <is>
          <t>P1 account; P2 invoice ID inv_p2_0001</t>
        </is>
      </c>
      <c r="I19" s="20" t="inlineStr">
        <is>
          <t>The request is rejected with access denied. No payment is created, no invoice modified, and the attempt is audited.</t>
        </is>
      </c>
      <c r="J19" s="20" t="inlineStr"/>
      <c r="K19" s="10" t="inlineStr">
        <is>
          <t>Not-Executed</t>
        </is>
      </c>
      <c r="L19" s="20" t="inlineStr"/>
    </row>
    <row r="20" ht="100" customHeight="1">
      <c r="A20" s="10" t="inlineStr">
        <is>
          <t>TC_HR_001</t>
        </is>
      </c>
      <c r="B20" s="20" t="inlineStr">
        <is>
          <t>M07 Staff &amp; HR</t>
        </is>
      </c>
      <c r="C20" s="20" t="inlineStr">
        <is>
          <t>Payroll run excludes terminated staff and computes net pay</t>
        </is>
      </c>
      <c r="D20" s="4" t="inlineStr">
        <is>
          <t>High</t>
        </is>
      </c>
      <c r="E20" s="4" t="inlineStr">
        <is>
          <t>Functional</t>
        </is>
      </c>
      <c r="F20" s="20" t="inlineStr">
        <is>
          <t>10 staff exist, 2 terminated. Salary components configured.</t>
        </is>
      </c>
      <c r="G20" s="20" t="inlineStr">
        <is>
          <t>1. Finance &gt; Payroll &gt; Generate.
2. Inspect the staff list loaded.
3. Check net pay for one staff member.
4. Add a bonus adjustment.
5. Review the run total.</t>
        </is>
      </c>
      <c r="H20" s="20" t="inlineStr">
        <is>
          <t>8 active, 2 terminated; Basic 120,000 + Allow 30,000 - Ded 12,000</t>
        </is>
      </c>
      <c r="I20" s="20" t="inlineStr">
        <is>
          <t>Only the 8 active staff load. Net pay reads 138,000 (basic + allowances - deductions). The bonus updates that staff member's preview and the run total.</t>
        </is>
      </c>
      <c r="J20" s="20" t="inlineStr"/>
      <c r="K20" s="10" t="inlineStr">
        <is>
          <t>Not-Executed</t>
        </is>
      </c>
      <c r="L20" s="20" t="inlineStr"/>
    </row>
    <row r="21" ht="100" customHeight="1">
      <c r="A21" s="10" t="inlineStr">
        <is>
          <t>TC_HR_002</t>
        </is>
      </c>
      <c r="B21" s="20" t="inlineStr">
        <is>
          <t>M07 Staff &amp; HR</t>
        </is>
      </c>
      <c r="C21" s="20" t="inlineStr">
        <is>
          <t>Published payroll run is immutable</t>
        </is>
      </c>
      <c r="D21" s="4" t="inlineStr">
        <is>
          <t>High</t>
        </is>
      </c>
      <c r="E21" s="4" t="inlineStr">
        <is>
          <t>Negative</t>
        </is>
      </c>
      <c r="F21" s="20" t="inlineStr">
        <is>
          <t>A payroll run has been approved and published.</t>
        </is>
      </c>
      <c r="G21" s="20" t="inlineStr">
        <is>
          <t>1. Open the published run.
2. Attempt to edit a staff member's net pay.
3. Attempt to delete the run.
4. Add a correction and observe how it is recorded.</t>
        </is>
      </c>
      <c r="H21" s="20" t="inlineStr">
        <is>
          <t>September payroll run</t>
        </is>
      </c>
      <c r="I21" s="20" t="inlineStr">
        <is>
          <t>No edit or delete is possible. The run remains visible and unchanged. A correction is recorded as a new adjustment, not an edit to the published run.</t>
        </is>
      </c>
      <c r="J21" s="20" t="inlineStr"/>
      <c r="K21" s="10" t="inlineStr">
        <is>
          <t>Not-Executed</t>
        </is>
      </c>
      <c r="L21" s="20" t="inlineStr"/>
    </row>
    <row r="22" ht="100" customHeight="1">
      <c r="A22" s="10" t="inlineStr">
        <is>
          <t>TC_HR_003</t>
        </is>
      </c>
      <c r="B22" s="20" t="inlineStr">
        <is>
          <t>M07 Staff &amp; HR</t>
        </is>
      </c>
      <c r="C22" s="20" t="inlineStr">
        <is>
          <t>Salary advance never over-deducts</t>
        </is>
      </c>
      <c r="D22" s="4" t="inlineStr">
        <is>
          <t>Medium</t>
        </is>
      </c>
      <c r="E22" s="4" t="inlineStr">
        <is>
          <t>Functional</t>
        </is>
      </c>
      <c r="F22" s="20" t="inlineStr">
        <is>
          <t>A staff member has an approved advance of 60,000 repayable over 3 months.</t>
        </is>
      </c>
      <c r="G22" s="20" t="inlineStr">
        <is>
          <t>1. Run and publish payroll for month 1, then 2, then 3.
2. After each run check the deduction and the outstanding balance.
3. Run payroll for month 4.</t>
        </is>
      </c>
      <c r="H22" s="20" t="inlineStr">
        <is>
          <t>Advance 60,000 over 3 months (20,000/mo)</t>
        </is>
      </c>
      <c r="I22" s="20" t="inlineStr">
        <is>
          <t>20,000 is deducted in each of months 1-3. Outstanding reaches zero. No deduction is taken in month 4 and the balance never goes negative.</t>
        </is>
      </c>
      <c r="J22" s="20" t="inlineStr"/>
      <c r="K22" s="10" t="inlineStr">
        <is>
          <t>Not-Executed</t>
        </is>
      </c>
      <c r="L22" s="20" t="inlineStr"/>
    </row>
    <row r="23" ht="100" customHeight="1">
      <c r="A23" s="10" t="inlineStr">
        <is>
          <t>TC_COM_001</t>
        </is>
      </c>
      <c r="B23" s="20" t="inlineStr">
        <is>
          <t>M08 Communications</t>
        </is>
      </c>
      <c r="C23" s="20" t="inlineStr">
        <is>
          <t>Consent form blocks re-submission and closes at deadline</t>
        </is>
      </c>
      <c r="D23" s="4" t="inlineStr">
        <is>
          <t>High</t>
        </is>
      </c>
      <c r="E23" s="4" t="inlineStr">
        <is>
          <t>Negative</t>
        </is>
      </c>
      <c r="F23" s="20" t="inlineStr">
        <is>
          <t>A consent form is published to parents with a deadline of today.</t>
        </is>
      </c>
      <c r="G23" s="20" t="inlineStr">
        <is>
          <t>1. Sign in as a parent and submit Agree.
2. Attempt to submit again.
3. Check the admin tally.
4. Move past the deadline.
5. Attempt to submit as a second parent.
6. Change the device clock and retry.</t>
        </is>
      </c>
      <c r="H23" s="20" t="inlineStr">
        <is>
          <t>Consent: Excursion permission; deadline today</t>
        </is>
      </c>
      <c r="I23" s="20" t="inlineStr">
        <is>
          <t>The second submission is blocked. The tally updates live without refresh. After the deadline no new response is accepted, and altering the client clock does not bypass it.</t>
        </is>
      </c>
      <c r="J23" s="20" t="inlineStr"/>
      <c r="K23" s="10" t="inlineStr">
        <is>
          <t>Not-Executed</t>
        </is>
      </c>
      <c r="L23" s="20" t="inlineStr"/>
    </row>
    <row r="24" ht="100" customHeight="1">
      <c r="A24" s="10" t="inlineStr">
        <is>
          <t>TC_CAL_001</t>
        </is>
      </c>
      <c r="B24" s="20" t="inlineStr">
        <is>
          <t>M09 Calendar</t>
        </is>
      </c>
      <c r="C24" s="20" t="inlineStr">
        <is>
          <t>Event reaches only its targeted audience</t>
        </is>
      </c>
      <c r="D24" s="4" t="inlineStr">
        <is>
          <t>Medium</t>
        </is>
      </c>
      <c r="E24" s="4" t="inlineStr">
        <is>
          <t>Functional</t>
        </is>
      </c>
      <c r="F24" s="20" t="inlineStr">
        <is>
          <t>Admin can post events; teacher, parent and student accounts exist.</t>
        </is>
      </c>
      <c r="G24" s="20" t="inlineStr">
        <is>
          <t>1. Post an event targeted to Teachers only.
2. Sign in as a teacher and check the calendar.
3. Sign in as a parent and check.
4. Sign in as a student and check.
5. Attempt to edit the event as the teacher.</t>
        </is>
      </c>
      <c r="H24" s="20" t="inlineStr">
        <is>
          <t>Event: Staff briefing, audience Teachers</t>
        </is>
      </c>
      <c r="I24" s="20" t="inlineStr">
        <is>
          <t>Only the teacher sees the event. Parent and student calendars omit it. The teacher's view is read-only with no edit or delete control.</t>
        </is>
      </c>
      <c r="J24" s="20" t="inlineStr"/>
      <c r="K24" s="10" t="inlineStr">
        <is>
          <t>Not-Executed</t>
        </is>
      </c>
      <c r="L24" s="20" t="inlineStr"/>
    </row>
    <row r="25" ht="100" customHeight="1">
      <c r="A25" s="10" t="inlineStr">
        <is>
          <t>TC_HOU_001</t>
        </is>
      </c>
      <c r="B25" s="20" t="inlineStr">
        <is>
          <t>M10 House Points</t>
        </is>
      </c>
      <c r="C25" s="20" t="inlineStr">
        <is>
          <t>Competition points and leaderboard ranking</t>
        </is>
      </c>
      <c r="D25" s="4" t="inlineStr">
        <is>
          <t>Medium</t>
        </is>
      </c>
      <c r="E25" s="4" t="inlineStr">
        <is>
          <t>Functional</t>
        </is>
      </c>
      <c r="F25" s="20" t="inlineStr">
        <is>
          <t>Four houses exist with known merit totals.</t>
        </is>
      </c>
      <c r="G25" s="20" t="inlineStr">
        <is>
          <t>1. Record a competition with positions 1st Red, 2nd Blue, 3rd Green, 4th Yellow.
2. Open the leaderboard.
3. Check each house total and its breakdown.</t>
        </is>
      </c>
      <c r="H25" s="20" t="inlineStr">
        <is>
          <t>Merit: Red 100, Blue 140, Green 90, Yellow 60</t>
        </is>
      </c>
      <c r="I25" s="20" t="inlineStr">
        <is>
          <t>Competition adds 50/35/20/10 respectively. Totals read Red 150, Blue 175, Green 110, Yellow 70. Houses sort by total and each shows a merit vs competition breakdown.</t>
        </is>
      </c>
      <c r="J25" s="20" t="inlineStr"/>
      <c r="K25" s="10" t="inlineStr">
        <is>
          <t>Not-Executed</t>
        </is>
      </c>
      <c r="L25" s="20" t="inlineStr"/>
    </row>
    <row r="26" ht="100" customHeight="1">
      <c r="A26" s="10" t="inlineStr">
        <is>
          <t>TC_TRA_001</t>
        </is>
      </c>
      <c r="B26" s="20" t="inlineStr">
        <is>
          <t>M11 Transport</t>
        </is>
      </c>
      <c r="C26" s="20" t="inlineStr">
        <is>
          <t>Bus status change alerts only that route's parents</t>
        </is>
      </c>
      <c r="D26" s="4" t="inlineStr">
        <is>
          <t>High</t>
        </is>
      </c>
      <c r="E26" s="4" t="inlineStr">
        <is>
          <t>Functional</t>
        </is>
      </c>
      <c r="F26" s="20" t="inlineStr">
        <is>
          <t>Two routes exist with students and linked parents on each.</t>
        </is>
      </c>
      <c r="G26" s="20" t="inlineStr">
        <is>
          <t>1. Sign in as the transport officer.
2. Set Route A status to Departed.
3. Sign in as a Route A parent.
4. Sign in as a Route B parent.
5. Compare notifications and status pills.</t>
        </is>
      </c>
      <c r="H26" s="20" t="inlineStr">
        <is>
          <t>Route A: 12 students; Route B: 9 students</t>
        </is>
      </c>
      <c r="I26" s="20" t="inlineStr">
        <is>
          <t>Route A parents are notified within seconds and see the updated colour-coded pill with a text label. Route B parents receive nothing and their status is unchanged.</t>
        </is>
      </c>
      <c r="J26" s="20" t="inlineStr"/>
      <c r="K26" s="10" t="inlineStr">
        <is>
          <t>Not-Executed</t>
        </is>
      </c>
      <c r="L26" s="20" t="inlineStr"/>
    </row>
    <row r="27" ht="100" customHeight="1">
      <c r="A27" s="10" t="inlineStr">
        <is>
          <t>TC_HEA_001</t>
        </is>
      </c>
      <c r="B27" s="20" t="inlineStr">
        <is>
          <t>M12 Health</t>
        </is>
      </c>
      <c r="C27" s="20" t="inlineStr">
        <is>
          <t>Send-home outcome forces a parent notification</t>
        </is>
      </c>
      <c r="D27" s="4" t="inlineStr">
        <is>
          <t>High</t>
        </is>
      </c>
      <c r="E27" s="4" t="inlineStr">
        <is>
          <t>Functional</t>
        </is>
      </c>
      <c r="F27" s="20" t="inlineStr">
        <is>
          <t>Every configurable notification trigger is switched off.</t>
        </is>
      </c>
      <c r="G27" s="20" t="inlineStr">
        <is>
          <t>1. Switch off all triggers in School Settings.
2. Sign in as health staff.
3. Log a sickbay visit with outcome Sent Home.
4. Leave the notify checkbox unchecked.
5. Save.
6. Sign in as the parent.</t>
        </is>
      </c>
      <c r="H27" s="20" t="inlineStr">
        <is>
          <t>Student Ada Obi; Outcome Sent Home</t>
        </is>
      </c>
      <c r="I27" s="20" t="inlineStr">
        <is>
          <t>The parent still receives the alert. The mandatory outcome overrides trigger configuration and the visit cannot save without the notification firing.</t>
        </is>
      </c>
      <c r="J27" s="20" t="inlineStr"/>
      <c r="K27" s="10" t="inlineStr">
        <is>
          <t>Not-Executed</t>
        </is>
      </c>
      <c r="L27" s="20" t="inlineStr"/>
    </row>
    <row r="28" ht="100" customHeight="1">
      <c r="A28" s="10" t="inlineStr">
        <is>
          <t>TC_ALU_001</t>
        </is>
      </c>
      <c r="B28" s="20" t="inlineStr">
        <is>
          <t>M13 Alumni</t>
        </is>
      </c>
      <c r="C28" s="20" t="inlineStr">
        <is>
          <t>Bulk graduation preserves history and clears active rolls</t>
        </is>
      </c>
      <c r="D28" s="4" t="inlineStr">
        <is>
          <t>Medium</t>
        </is>
      </c>
      <c r="E28" s="4" t="inlineStr">
        <is>
          <t>Functional</t>
        </is>
      </c>
      <c r="F28" s="20" t="inlineStr">
        <is>
          <t>A graduating class of 25 students with results, ledgers and attendance history.</t>
        </is>
      </c>
      <c r="G28" s="20" t="inlineStr">
        <is>
          <t>1. Academic &gt; Bulk Promotion &gt; destination Graduate to Alumni.
2. Select the class and confirm.
3. Check attendance, results and invoice generation.
4. Open an alumnus record.
5. Print a leaving certificate.</t>
        </is>
      </c>
      <c r="H28" s="20" t="inlineStr">
        <is>
          <t>Class SS3A, 25 students</t>
        </is>
      </c>
      <c r="I28" s="20" t="inlineStr">
        <is>
          <t>All 25 move to alumni status and disappear from active rolls and invoice generation. Each record retains its full history. A branded leaving certificate prints correctly.</t>
        </is>
      </c>
      <c r="J28" s="20" t="inlineStr"/>
      <c r="K28" s="10" t="inlineStr">
        <is>
          <t>Not-Executed</t>
        </is>
      </c>
      <c r="L28" s="20" t="inlineStr"/>
    </row>
    <row r="29" ht="100" customHeight="1">
      <c r="A29" s="10" t="inlineStr">
        <is>
          <t>TC_ASS_001</t>
        </is>
      </c>
      <c r="B29" s="20" t="inlineStr">
        <is>
          <t>M14 Assessments</t>
        </is>
      </c>
      <c r="C29" s="20" t="inlineStr">
        <is>
          <t>Inline comment pin persists at exact coordinates</t>
        </is>
      </c>
      <c r="D29" s="4" t="inlineStr">
        <is>
          <t>Medium</t>
        </is>
      </c>
      <c r="E29" s="4" t="inlineStr">
        <is>
          <t>Functional</t>
        </is>
      </c>
      <c r="F29" s="20" t="inlineStr">
        <is>
          <t>A student has submitted an image assignment awaiting marking.</t>
        </is>
      </c>
      <c r="G29" s="20" t="inlineStr">
        <is>
          <t>1. Open the submission for marking.
2. Place a comment pin at a specific point on the image.
3. Add comment text and save.
4. Navigate away and reopen the submission.
5. Compare pin position.</t>
        </is>
      </c>
      <c r="H29" s="20" t="inlineStr">
        <is>
          <t>Image submission; pin at 42% x, 67% y</t>
        </is>
      </c>
      <c r="I29" s="20" t="inlineStr">
        <is>
          <t>The pin saves and reloads at the identical percentage coordinates with its comment text intact, regardless of viewport size.</t>
        </is>
      </c>
      <c r="J29" s="20" t="inlineStr"/>
      <c r="K29" s="10" t="inlineStr">
        <is>
          <t>Not-Executed</t>
        </is>
      </c>
      <c r="L29" s="20" t="inlineStr"/>
    </row>
    <row r="30" ht="100" customHeight="1">
      <c r="A30" s="10" t="inlineStr">
        <is>
          <t>TC_ASS_002</t>
        </is>
      </c>
      <c r="B30" s="20" t="inlineStr">
        <is>
          <t>M14 Assessments</t>
        </is>
      </c>
      <c r="C30" s="20" t="inlineStr">
        <is>
          <t>CBT auto-grades objective questions only</t>
        </is>
      </c>
      <c r="D30" s="4" t="inlineStr">
        <is>
          <t>High</t>
        </is>
      </c>
      <c r="E30" s="4" t="inlineStr">
        <is>
          <t>Functional</t>
        </is>
      </c>
      <c r="F30" s="20" t="inlineStr">
        <is>
          <t>A CBT with 5 MCQ, 3 True/False and 2 short-answer questions is published.</t>
        </is>
      </c>
      <c r="G30" s="20" t="inlineStr">
        <is>
          <t>1. Sign in as a student and take the CBT.
2. Submit.
3. Observe the immediate score.
4. Sign in as the teacher and open the submission.
5. Mark the short answers.
6. Re-check the student's score.</t>
        </is>
      </c>
      <c r="H30" s="20" t="inlineStr">
        <is>
          <t>5 MCQ + 3 TF + 2 short answer</t>
        </is>
      </c>
      <c r="I30" s="20" t="inlineStr">
        <is>
          <t>The 8 objective questions grade immediately on submit. The short answers show as pending until marked. Once marked the total updates and the student is notified.</t>
        </is>
      </c>
      <c r="J30" s="20" t="inlineStr"/>
      <c r="K30" s="10" t="inlineStr">
        <is>
          <t>Not-Executed</t>
        </is>
      </c>
      <c r="L30" s="20" t="inlineStr"/>
    </row>
    <row r="31" ht="100" customHeight="1">
      <c r="A31" s="10" t="inlineStr">
        <is>
          <t>TC_BRA_001</t>
        </is>
      </c>
      <c r="B31" s="20" t="inlineStr">
        <is>
          <t>M15 Multi-branch</t>
        </is>
      </c>
      <c r="C31" s="20" t="inlineStr">
        <is>
          <t>Branch switch re-scopes every module</t>
        </is>
      </c>
      <c r="D31" s="4" t="inlineStr">
        <is>
          <t>High</t>
        </is>
      </c>
      <c r="E31" s="4" t="inlineStr">
        <is>
          <t>Functional</t>
        </is>
      </c>
      <c r="F31" s="20" t="inlineStr">
        <is>
          <t>A group with Branch A (120 students) and Branch B (75 students), distinct data in each.</t>
        </is>
      </c>
      <c r="G31" s="20" t="inlineStr">
        <is>
          <t>1. Sign in as the group owner.
2. Confirm Group Overview totals.
3. Switch into Branch A and check Students, Attendance, Finance, Reports.
4. Switch into Branch B and repeat.</t>
        </is>
      </c>
      <c r="H31" s="20" t="inlineStr">
        <is>
          <t>Branch A 120 students; Branch B 75 students</t>
        </is>
      </c>
      <c r="I31" s="20" t="inlineStr">
        <is>
          <t>Group totals read 195. Branch A shows only its 120, Branch B only its 75. No record from one branch appears in the other in any module.</t>
        </is>
      </c>
      <c r="J31" s="20" t="inlineStr"/>
      <c r="K31" s="10" t="inlineStr">
        <is>
          <t>Not-Executed</t>
        </is>
      </c>
      <c r="L31" s="20" t="inlineStr"/>
    </row>
    <row r="32" ht="100" customHeight="1">
      <c r="A32" s="10" t="inlineStr">
        <is>
          <t>TC_ENT_001</t>
        </is>
      </c>
      <c r="B32" s="20" t="inlineStr">
        <is>
          <t>M16 Entitlements</t>
        </is>
      </c>
      <c r="C32" s="20" t="inlineStr">
        <is>
          <t>Unentitled deep link shows a locked screen with an upgrade path</t>
        </is>
      </c>
      <c r="D32" s="4" t="inlineStr">
        <is>
          <t>High</t>
        </is>
      </c>
      <c r="E32" s="4" t="inlineStr">
        <is>
          <t>Negative</t>
        </is>
      </c>
      <c r="F32" s="20" t="inlineStr">
        <is>
          <t>School on a plan without Transport and no override granting it.</t>
        </is>
      </c>
      <c r="G32" s="20" t="inlineStr">
        <is>
          <t>1. Sign in as the school admin.
2. Confirm Transport is absent from the nav.
3. Deep-link to the Transport view URL.
4. Tap Request this feature.
5. Sign in as a COP operator and open the Support Desk.</t>
        </is>
      </c>
      <c r="H32" s="20" t="inlineStr">
        <is>
          <t>Plan Essential; feature key transport</t>
        </is>
      </c>
      <c r="I32" s="20" t="inlineStr">
        <is>
          <t>Nav omits Transport. The deep link renders a locked screen explaining it is not on the plan with an upgrade route. The request creates a ticket visible in both the COP desk and the school's Help and Support.</t>
        </is>
      </c>
      <c r="J32" s="20" t="inlineStr"/>
      <c r="K32" s="10" t="inlineStr">
        <is>
          <t>Not-Executed</t>
        </is>
      </c>
      <c r="L32" s="20" t="inlineStr"/>
    </row>
    <row r="33" ht="100" customHeight="1">
      <c r="A33" s="10" t="inlineStr">
        <is>
          <t>TC_COP_001</t>
        </is>
      </c>
      <c r="B33" s="20" t="inlineStr">
        <is>
          <t>M17 COP</t>
        </is>
      </c>
      <c r="C33" s="20" t="inlineStr">
        <is>
          <t>Suspending a school blocks all its logins immediately</t>
        </is>
      </c>
      <c r="D33" s="4" t="inlineStr">
        <is>
          <t>High</t>
        </is>
      </c>
      <c r="E33" s="4" t="inlineStr">
        <is>
          <t>Functional</t>
        </is>
      </c>
      <c r="F33" s="20" t="inlineStr">
        <is>
          <t>An Active school with owner, teacher and parent accounts, all able to sign in.</t>
        </is>
      </c>
      <c r="G33" s="20" t="inlineStr">
        <is>
          <t>1. Sign in as a COP operator.
2. Open the school and select Suspend.
3. Confirm.
4. Attempt to sign in as the school owner, then teacher, then parent.
5. Check the COP audit log.
6. Reactivate and retry.</t>
        </is>
      </c>
      <c r="H33" s="20" t="inlineStr">
        <is>
          <t>School: Bright Star Academy</t>
        </is>
      </c>
      <c r="I33" s="20" t="inlineStr">
        <is>
          <t>All three logins are blocked immediately with a clear suspended message. The suspension is audited with actor and timestamp. Reactivation restores access for all three.</t>
        </is>
      </c>
      <c r="J33" s="20" t="inlineStr"/>
      <c r="K33" s="10" t="inlineStr">
        <is>
          <t>Not-Executed</t>
        </is>
      </c>
      <c r="L33" s="20" t="inlineStr"/>
    </row>
    <row r="34" ht="100" customHeight="1">
      <c r="A34" s="10" t="inlineStr">
        <is>
          <t>TC_LEN_001</t>
        </is>
      </c>
      <c r="B34" s="20" t="inlineStr">
        <is>
          <t>M18 Lending</t>
        </is>
      </c>
      <c r="C34" s="20" t="inlineStr">
        <is>
          <t>All lending entry points are unreachable while on hold</t>
        </is>
      </c>
      <c r="D34" s="4" t="inlineStr">
        <is>
          <t>High</t>
        </is>
      </c>
      <c r="E34" s="4" t="inlineStr">
        <is>
          <t>Negative</t>
        </is>
      </c>
      <c r="F34" s="20" t="inlineStr">
        <is>
          <t>Loans are on hold and the lending entitlement is off for every school.</t>
        </is>
      </c>
      <c r="G34" s="20" t="inlineStr">
        <is>
          <t>1. Sign in as a parent and search the nav for a loan entry point.
2. Deep-link to the parent loan application URL.
3. Sign in as finance and deep-link to the Lending view.
4. Sign in as a COP operator and look for the disbursement console.</t>
        </is>
      </c>
      <c r="H34" s="20" t="inlineStr">
        <is>
          <t>lending entitlement = off</t>
        </is>
      </c>
      <c r="I34" s="20" t="inlineStr">
        <is>
          <t>No loan entry point is visible to any role. Every deep link renders a locked or not-found screen. The COP disbursement console is hidden or disabled. No loan record can be created.</t>
        </is>
      </c>
      <c r="J34" s="20" t="inlineStr"/>
      <c r="K34" s="10" t="inlineStr">
        <is>
          <t>Not-Executed</t>
        </is>
      </c>
      <c r="L34" s="20" t="inlineStr"/>
    </row>
    <row r="35" ht="100" customHeight="1">
      <c r="A35" s="10" t="inlineStr">
        <is>
          <t>TC_LEA_001</t>
        </is>
      </c>
      <c r="B35" s="20" t="inlineStr">
        <is>
          <t>M19 Learning</t>
        </is>
      </c>
      <c r="C35" s="20" t="inlineStr">
        <is>
          <t>Draft content never leaks to students</t>
        </is>
      </c>
      <c r="D35" s="4" t="inlineStr">
        <is>
          <t>Medium</t>
        </is>
      </c>
      <c r="E35" s="4" t="inlineStr">
        <is>
          <t>Security</t>
        </is>
      </c>
      <c r="F35" s="20" t="inlineStr">
        <is>
          <t>A teacher has created but not published a lesson material for JSS1A.</t>
        </is>
      </c>
      <c r="G35" s="20" t="inlineStr">
        <is>
          <t>1. Create material for JSS1A and save as draft.
2. Sign in as a JSS1A student and open Learning.
3. Deep-link to the material ID.
4. Publish it as the teacher.
5. Re-check as the student and as a JSS2A student.</t>
        </is>
      </c>
      <c r="H35" s="20" t="inlineStr">
        <is>
          <t>Material: Algebra notes, class JSS1A</t>
        </is>
      </c>
      <c r="I35" s="20" t="inlineStr">
        <is>
          <t>The draft is invisible to students and the deep link returns nothing. After publishing, JSS1A students see it and JSS2A students still do not.</t>
        </is>
      </c>
      <c r="J35" s="20" t="inlineStr"/>
      <c r="K35" s="10" t="inlineStr">
        <is>
          <t>Not-Executed</t>
        </is>
      </c>
      <c r="L35" s="20" t="inlineStr"/>
    </row>
    <row r="36" ht="100" customHeight="1">
      <c r="A36" s="10" t="inlineStr">
        <is>
          <t>TC_BEH_001</t>
        </is>
      </c>
      <c r="B36" s="20" t="inlineStr">
        <is>
          <t>M20 Behaviour</t>
        </is>
      </c>
      <c r="C36" s="20" t="inlineStr">
        <is>
          <t>Suspension reflects on status and auto-expires</t>
        </is>
      </c>
      <c r="D36" s="4" t="inlineStr">
        <is>
          <t>Medium</t>
        </is>
      </c>
      <c r="E36" s="4" t="inlineStr">
        <is>
          <t>Functional</t>
        </is>
      </c>
      <c r="F36" s="20" t="inlineStr">
        <is>
          <t>An active student with no sanctions.</t>
        </is>
      </c>
      <c r="G36" s="20" t="inlineStr">
        <is>
          <t>1. Record an incident and apply a 3-day suspension with dates.
2. Check the student's active status and the Suspensions register.
3. Check the parent notification.
4. Advance past the end date.
5. Re-check status and register.</t>
        </is>
      </c>
      <c r="H36" s="20" t="inlineStr">
        <is>
          <t>Student Ada Obi; suspension 3 days</t>
        </is>
      </c>
      <c r="I36" s="20" t="inlineStr">
        <is>
          <t>Status reflects the suspension for its period and the student appears in the Suspensions register. The parent is notified. After the end date the sanction auto-expires and status returns to active.</t>
        </is>
      </c>
      <c r="J36" s="20" t="inlineStr"/>
      <c r="K36" s="10" t="inlineStr">
        <is>
          <t>Not-Executed</t>
        </is>
      </c>
      <c r="L36" s="20" t="inlineStr"/>
    </row>
    <row r="37" ht="100" customHeight="1">
      <c r="A37" s="10" t="inlineStr">
        <is>
          <t>TC_MSG_001</t>
        </is>
      </c>
      <c r="B37" s="20" t="inlineStr">
        <is>
          <t>M21 Messaging</t>
        </is>
      </c>
      <c r="C37" s="20" t="inlineStr">
        <is>
          <t>Parent can only message staff linked to their own child</t>
        </is>
      </c>
      <c r="D37" s="4" t="inlineStr">
        <is>
          <t>High</t>
        </is>
      </c>
      <c r="E37" s="4" t="inlineStr">
        <is>
          <t>Security</t>
        </is>
      </c>
      <c r="F37" s="20" t="inlineStr">
        <is>
          <t>Parent P1 has a child in JSS1A taught by teacher T1. Teacher T2 teaches JSS3A only.</t>
        </is>
      </c>
      <c r="G37" s="20" t="inlineStr">
        <is>
          <t>1. Sign in as P1 and open Communications.
2. Inspect the list of contactable staff.
3. Attempt to start a thread with T2 via a crafted request.
4. Sign in as admin and open Oversight.</t>
        </is>
      </c>
      <c r="H37" s="20" t="inlineStr">
        <is>
          <t>P1, child in JSS1A; T1 linked; T2 unrelated</t>
        </is>
      </c>
      <c r="I37" s="20" t="inlineStr">
        <is>
          <t>Only T1 and other linked staff are listed. The crafted request to T2 is rejected. Admin oversight shows all threads read-only without the admin appearing as a participant.</t>
        </is>
      </c>
      <c r="J37" s="20" t="inlineStr"/>
      <c r="K37" s="10" t="inlineStr">
        <is>
          <t>Not-Executed</t>
        </is>
      </c>
      <c r="L37" s="20" t="inlineStr"/>
    </row>
    <row r="38" ht="100" customHeight="1">
      <c r="A38" s="10" t="inlineStr">
        <is>
          <t>TC_FD_001</t>
        </is>
      </c>
      <c r="B38" s="20" t="inlineStr">
        <is>
          <t>M22 Front Desk</t>
        </is>
      </c>
      <c r="C38" s="20" t="inlineStr">
        <is>
          <t>Tour request converts to an admission application without re-keying</t>
        </is>
      </c>
      <c r="D38" s="4" t="inlineStr">
        <is>
          <t>Medium</t>
        </is>
      </c>
      <c r="E38" s="4" t="inlineStr">
        <is>
          <t>Functional</t>
        </is>
      </c>
      <c r="F38" s="20" t="inlineStr">
        <is>
          <t>The public site is reachable and Front Desk is empty.</t>
        </is>
      </c>
      <c r="G38" s="20" t="inlineStr">
        <is>
          <t>1. On the public site book a tour with full family details.
2. Sign in as admin and open Front Desk.
3. Confirm the tour, then mark it Completed.
4. Select Create application.
5. Inspect the prefilled fields.</t>
        </is>
      </c>
      <c r="H38" s="20" t="inlineStr">
        <is>
          <t>Parent Ngozi Eze, 0801 234 5678, child age 5</t>
        </is>
      </c>
      <c r="I38" s="20" t="inlineStr">
        <is>
          <t>The lead appears with a new badge. Status transitions are stamped with actor and time. Conversion prefills name, contact and child age into a new application linked back to the tour.</t>
        </is>
      </c>
      <c r="J38" s="20" t="inlineStr"/>
      <c r="K38" s="10" t="inlineStr">
        <is>
          <t>Not-Executed</t>
        </is>
      </c>
      <c r="L38" s="20" t="inlineStr"/>
    </row>
    <row r="39" ht="100" customHeight="1">
      <c r="A39" s="10" t="inlineStr">
        <is>
          <t>TC_OPS_001</t>
        </is>
      </c>
      <c r="B39" s="20" t="inlineStr">
        <is>
          <t>M23 Operations</t>
        </is>
      </c>
      <c r="C39" s="20" t="inlineStr">
        <is>
          <t>Library availability is derived and over-issue is blocked</t>
        </is>
      </c>
      <c r="D39" s="4" t="inlineStr">
        <is>
          <t>Medium</t>
        </is>
      </c>
      <c r="E39" s="4" t="inlineStr">
        <is>
          <t>Functional</t>
        </is>
      </c>
      <c r="F39" s="20" t="inlineStr">
        <is>
          <t>A title exists with 3 total copies and 3 available.</t>
        </is>
      </c>
      <c r="G39" s="20" t="inlineStr">
        <is>
          <t>1. Issue the title to 3 different students with due dates.
2. Check copies available.
3. Attempt a 4th issue.
4. Return one copy.
5. Re-check availability and the Active Loans tab.</t>
        </is>
      </c>
      <c r="H39" s="20" t="inlineStr">
        <is>
          <t>Title: Things Fall Apart, 3 copies</t>
        </is>
      </c>
      <c r="I39" s="20" t="inlineStr">
        <is>
          <t>Availability falls to 0 after 3 issues. The 4th issue is blocked with a clear message. Returning one copy raises availability to 1 and removes that loan from Active.</t>
        </is>
      </c>
      <c r="J39" s="20" t="inlineStr"/>
      <c r="K39" s="10" t="inlineStr">
        <is>
          <t>Not-Executed</t>
        </is>
      </c>
      <c r="L39" s="20" t="inlineStr"/>
    </row>
    <row r="40" ht="100" customHeight="1">
      <c r="A40" s="10" t="inlineStr">
        <is>
          <t>TC_OPS_002</t>
        </is>
      </c>
      <c r="B40" s="20" t="inlineStr">
        <is>
          <t>M23 Operations</t>
        </is>
      </c>
      <c r="C40" s="20" t="inlineStr">
        <is>
          <t>Inventory quantity only changes through a logged movement</t>
        </is>
      </c>
      <c r="D40" s="4" t="inlineStr">
        <is>
          <t>High</t>
        </is>
      </c>
      <c r="E40" s="4" t="inlineStr">
        <is>
          <t>Functional</t>
        </is>
      </c>
      <c r="F40" s="20" t="inlineStr">
        <is>
          <t>An item exists with quantity 50, minimum stock 20, unit cost 1,500.</t>
        </is>
      </c>
      <c r="G40" s="20" t="inlineStr">
        <is>
          <t>1. Issue 25 units with a reason.
2. Check quantity, LOW badge and the dashboard chip.
3. Attempt to issue 40 more.
4. Restock 30 units.
5. Write off 5 units.
6. Open the item history.</t>
        </is>
      </c>
      <c r="H40" s="20" t="inlineStr">
        <is>
          <t>Item: Exercise books; qty 50; min 20; cost 1,500</t>
        </is>
      </c>
      <c r="I40" s="20" t="inlineStr">
        <is>
          <t>Quantity reads 25 and is badged LOW, matching the dashboard chip. Issuing 40 is blocked. Restock takes it to 55 and the write-off to 50. History shows all four movements with actor and reason.</t>
        </is>
      </c>
      <c r="J40" s="20" t="inlineStr"/>
      <c r="K40" s="10" t="inlineStr">
        <is>
          <t>Not-Executed</t>
        </is>
      </c>
      <c r="L40" s="20" t="inlineStr"/>
    </row>
    <row r="41" ht="100" customHeight="1">
      <c r="A41" s="10" t="inlineStr">
        <is>
          <t>TC_STO_001</t>
        </is>
      </c>
      <c r="B41" s="20" t="inlineStr">
        <is>
          <t>M24 School Store</t>
        </is>
      </c>
      <c r="C41" s="20" t="inlineStr">
        <is>
          <t>Purchase posts to the ledger and cost price stays hidden</t>
        </is>
      </c>
      <c r="D41" s="4" t="inlineStr">
        <is>
          <t>High</t>
        </is>
      </c>
      <c r="E41" s="4" t="inlineStr">
        <is>
          <t>Security</t>
        </is>
      </c>
      <c r="F41" s="20" t="inlineStr">
        <is>
          <t>A store item exists with cost 4,000 and selling price 6,500. A student has an open ledger.</t>
        </is>
      </c>
      <c r="G41" s="20" t="inlineStr">
        <is>
          <t>1. Record a purchase of 2 units for the student.
2. Open the student ledger as finance.
3. Check the margin analysis tab.
4. Sign in as the parent.
5. Open the statement and print it.
6. Search both for the cost price.</t>
        </is>
      </c>
      <c r="H41" s="20" t="inlineStr">
        <is>
          <t>Item School uniform; cost 4,000; selling 6,500; qty 2</t>
        </is>
      </c>
      <c r="I41" s="20" t="inlineStr">
        <is>
          <t>The ledger shows a 13,000 charge as its own itemised line. Margin analysis reads 2,500 per unit at 38%. The parent's view and printed statement show only the 13,000 charge; the 4,000 cost never appears.</t>
        </is>
      </c>
      <c r="J41" s="20" t="inlineStr"/>
      <c r="K41" s="10" t="inlineStr">
        <is>
          <t>Not-Executed</t>
        </is>
      </c>
      <c r="L41" s="20" t="inlineStr"/>
    </row>
    <row r="42" ht="100" customHeight="1">
      <c r="A42" s="10" t="inlineStr">
        <is>
          <t>TC_SET_001</t>
        </is>
      </c>
      <c r="B42" s="20" t="inlineStr">
        <is>
          <t>M25 Settings</t>
        </is>
      </c>
      <c r="C42" s="20" t="inlineStr">
        <is>
          <t>Branding applies to every printed document</t>
        </is>
      </c>
      <c r="D42" s="4" t="inlineStr">
        <is>
          <t>Medium</t>
        </is>
      </c>
      <c r="E42" s="4" t="inlineStr">
        <is>
          <t>Functional</t>
        </is>
      </c>
      <c r="F42" s="20" t="inlineStr">
        <is>
          <t>A school with no logo set and default colours.</t>
        </is>
      </c>
      <c r="G42" s="20" t="inlineStr">
        <is>
          <t>1. Upload a logo and set the primary colour.
2. Save and observe the nav.
3. Print a report card, a statement and a receipt.
4. Attempt to upload an oversized logo.</t>
        </is>
      </c>
      <c r="H42" s="20" t="inlineStr">
        <is>
          <t>Logo 512x512 PNG; primary #0F625C; oversized 12MB BMP</t>
        </is>
      </c>
      <c r="I42" s="20" t="inlineStr">
        <is>
          <t>Logo and colour apply to the nav without a reload and appear on all three printed documents with a computer-generated footer. The oversized wrong-format upload is rejected with a clear message.</t>
        </is>
      </c>
      <c r="J42" s="20" t="inlineStr"/>
      <c r="K42" s="10" t="inlineStr">
        <is>
          <t>Not-Executed</t>
        </is>
      </c>
      <c r="L42" s="20" t="inlineStr"/>
    </row>
    <row r="43" ht="100" customHeight="1">
      <c r="A43" s="10" t="inlineStr">
        <is>
          <t>TC_SET_002</t>
        </is>
      </c>
      <c r="B43" s="20" t="inlineStr">
        <is>
          <t>M25 Settings</t>
        </is>
      </c>
      <c r="C43" s="20" t="inlineStr">
        <is>
          <t>Custom role is enforced in nav and by deep link</t>
        </is>
      </c>
      <c r="D43" s="4" t="inlineStr">
        <is>
          <t>High</t>
        </is>
      </c>
      <c r="E43" s="4" t="inlineStr">
        <is>
          <t>Security</t>
        </is>
      </c>
      <c r="F43" s="20" t="inlineStr">
        <is>
          <t>A custom role exists permitting Students and Attendance only.</t>
        </is>
      </c>
      <c r="G43" s="20" t="inlineStr">
        <is>
          <t>1. Assign the custom role to a staff user.
2. Sign in as that user.
3. Inspect the navigation.
4. Deep-link to Finance &gt; Invoices.
5. Deep-link to Staff &amp; HR.</t>
        </is>
      </c>
      <c r="H43" s="20" t="inlineStr">
        <is>
          <t>Role: Form Master (students, attendance)</t>
        </is>
      </c>
      <c r="I43" s="20" t="inlineStr">
        <is>
          <t>The nav shows only Students and Attendance. Both deep links render a denied screen. No finance or staff data is returned in either response.</t>
        </is>
      </c>
      <c r="J43" s="20" t="inlineStr"/>
      <c r="K43" s="10" t="inlineStr">
        <is>
          <t>Not-Executed</t>
        </is>
      </c>
      <c r="L43" s="20" t="inlineStr"/>
    </row>
    <row r="44" ht="100" customHeight="1">
      <c r="A44" s="10" t="inlineStr">
        <is>
          <t>TC_REP_001</t>
        </is>
      </c>
      <c r="B44" s="20" t="inlineStr">
        <is>
          <t>M26 Reports</t>
        </is>
      </c>
      <c r="C44" s="20" t="inlineStr">
        <is>
          <t>Export contains exactly the filtered set</t>
        </is>
      </c>
      <c r="D44" s="4" t="inlineStr">
        <is>
          <t>Medium</t>
        </is>
      </c>
      <c r="E44" s="4" t="inlineStr">
        <is>
          <t>Functional</t>
        </is>
      </c>
      <c r="F44" s="20" t="inlineStr">
        <is>
          <t>Enrolment data exists across several classes and terms.</t>
        </is>
      </c>
      <c r="G44" s="20" t="inlineStr">
        <is>
          <t>1. Open Reports &gt; Enrolment.
2. Filter to one class and the current term.
3. Note the on-screen row count and totals.
4. Export.
5. Open the file and compare.</t>
        </is>
      </c>
      <c r="H44" s="20" t="inlineStr">
        <is>
          <t>Filter: JSS1A, Term 2</t>
        </is>
      </c>
      <c r="I44" s="20" t="inlineStr">
        <is>
          <t>The export contains exactly the filtered rows with matching totals, states the applied filters, and carries school name, generated-by and generated-at.</t>
        </is>
      </c>
      <c r="J44" s="20" t="inlineStr"/>
      <c r="K44" s="10" t="inlineStr">
        <is>
          <t>Not-Executed</t>
        </is>
      </c>
      <c r="L44" s="20" t="inlineStr"/>
    </row>
    <row r="45" ht="100" customHeight="1">
      <c r="A45" s="10" t="inlineStr">
        <is>
          <t>TC_AUD_001</t>
        </is>
      </c>
      <c r="B45" s="20" t="inlineStr">
        <is>
          <t>M27 Audit Log</t>
        </is>
      </c>
      <c r="C45" s="20" t="inlineStr">
        <is>
          <t>Sensitive actions are logged and cannot be altered</t>
        </is>
      </c>
      <c r="D45" s="4" t="inlineStr">
        <is>
          <t>High</t>
        </is>
      </c>
      <c r="E45" s="4" t="inlineStr">
        <is>
          <t>Security</t>
        </is>
      </c>
      <c r="F45" s="20" t="inlineStr">
        <is>
          <t>Admin has audit access. A student record and a payroll run exist.</t>
        </is>
      </c>
      <c r="G45" s="20" t="inlineStr">
        <is>
          <t>1. Change a student's status to Withdrawn.
2. Approve a payroll run.
3. Open the Audit Log.
4. Filter by Students, then Finance.
5. Search the student's name.
6. Attempt to edit or delete an entry.</t>
        </is>
      </c>
      <c r="H45" s="20" t="inlineStr">
        <is>
          <t>Student Ada Obi; September payroll run</t>
        </is>
      </c>
      <c r="I45" s="20" t="inlineStr">
        <is>
          <t>Both actions appear as separate entries naming actor, target and timestamp. Filters and search return them correctly. No edit or delete path exists and no entry contains a secret.</t>
        </is>
      </c>
      <c r="J45" s="20" t="inlineStr"/>
      <c r="K45" s="10" t="inlineStr">
        <is>
          <t>Not-Executed</t>
        </is>
      </c>
      <c r="L45" s="20" t="inlineStr"/>
    </row>
    <row r="46" ht="100" customHeight="1">
      <c r="A46" s="10" t="inlineStr">
        <is>
          <t>TC_NOT_001</t>
        </is>
      </c>
      <c r="B46" s="20" t="inlineStr">
        <is>
          <t>M28 Notifications</t>
        </is>
      </c>
      <c r="C46" s="20" t="inlineStr">
        <is>
          <t>SMS channel is visibly locked and unusable</t>
        </is>
      </c>
      <c r="D46" s="4" t="inlineStr">
        <is>
          <t>Medium</t>
        </is>
      </c>
      <c r="E46" s="4" t="inlineStr">
        <is>
          <t>Negative</t>
        </is>
      </c>
      <c r="F46" s="20" t="inlineStr">
        <is>
          <t>Owner signed in with access to School Settings.</t>
        </is>
      </c>
      <c r="G46" s="20" t="inlineStr">
        <is>
          <t>1. Open Settings &gt; Notifications.
2. Locate the SMS row.
3. Attempt to switch SMS on.
4. Read the explanation.
5. Trigger an absence alert and inspect the channels used.</t>
        </is>
      </c>
      <c r="H46" s="20" t="inlineStr">
        <is>
          <t>Channel SMS</t>
        </is>
      </c>
      <c r="I46" s="20" t="inlineStr">
        <is>
          <t>The SMS toggle is disabled and off with the platform reason stated on screen. It cannot be enabled and no module dispatches over SMS.</t>
        </is>
      </c>
      <c r="J46" s="20" t="inlineStr"/>
      <c r="K46" s="10" t="inlineStr">
        <is>
          <t>Not-Executed</t>
        </is>
      </c>
      <c r="L46" s="20" t="inlineStr"/>
    </row>
    <row r="47" ht="100" customHeight="1">
      <c r="A47" s="10" t="inlineStr">
        <is>
          <t>TC_NOT_002</t>
        </is>
      </c>
      <c r="B47" s="20" t="inlineStr">
        <is>
          <t>M28 Notifications</t>
        </is>
      </c>
      <c r="C47" s="20" t="inlineStr">
        <is>
          <t>Duplicate suppression on repeated triggers</t>
        </is>
      </c>
      <c r="D47" s="4" t="inlineStr">
        <is>
          <t>Medium</t>
        </is>
      </c>
      <c r="E47" s="4" t="inlineStr">
        <is>
          <t>Functional</t>
        </is>
      </c>
      <c r="F47" s="20" t="inlineStr">
        <is>
          <t>A student is marked absent, the register is corrected and re-submitted the same day.</t>
        </is>
      </c>
      <c r="G47" s="20" t="inlineStr">
        <is>
          <t>1. Mark a student Absent and submit.
2. Request an admin override and re-submit the same register.
3. Sign in as the parent.
4. Count the absence notifications for that date.</t>
        </is>
      </c>
      <c r="H47" s="20" t="inlineStr">
        <is>
          <t>Student Ada Obi; same date, two submissions</t>
        </is>
      </c>
      <c r="I47" s="20" t="inlineStr">
        <is>
          <t>The parent receives exactly one absence notification for that date. The second submission does not produce a duplicate alert.</t>
        </is>
      </c>
      <c r="J47" s="20" t="inlineStr"/>
      <c r="K47" s="10" t="inlineStr">
        <is>
          <t>Not-Executed</t>
        </is>
      </c>
      <c r="L47" s="20" t="inlineStr"/>
    </row>
    <row r="48" ht="100" customHeight="1">
      <c r="A48" s="10" t="inlineStr">
        <is>
          <t>TC_SUP_001</t>
        </is>
      </c>
      <c r="B48" s="20" t="inlineStr">
        <is>
          <t>M29 Help &amp; Support</t>
        </is>
      </c>
      <c r="C48" s="20" t="inlineStr">
        <is>
          <t>Ticket status is identical in the school view and the COP queue</t>
        </is>
      </c>
      <c r="D48" s="4" t="inlineStr">
        <is>
          <t>High</t>
        </is>
      </c>
      <c r="E48" s="4" t="inlineStr">
        <is>
          <t>Functional</t>
        </is>
      </c>
      <c r="F48" s="20" t="inlineStr">
        <is>
          <t>A school can raise tickets; a COP agent can work the desk.</t>
        </is>
      </c>
      <c r="G48" s="20" t="inlineStr">
        <is>
          <t>1. As the school admin raise a ticket.
2. Note its status.
3. As a COP agent open the desk and reply, then set In Progress.
4. Return to the school view.
5. Resolve as the agent and re-check the school view.</t>
        </is>
      </c>
      <c r="H48" s="20" t="inlineStr">
        <is>
          <t>Ticket: Cannot generate invoices</t>
        </is>
      </c>
      <c r="I48" s="20" t="inlineStr">
        <is>
          <t>The ticket appears in both views with identical status at every stage. The school is notified of the reply and the badge count clears on resolution.</t>
        </is>
      </c>
      <c r="J48" s="20" t="inlineStr"/>
      <c r="K48" s="10" t="inlineStr">
        <is>
          <t>Not-Executed</t>
        </is>
      </c>
      <c r="L48" s="20" t="inlineStr"/>
    </row>
    <row r="49" ht="100" customHeight="1">
      <c r="A49" s="10" t="inlineStr">
        <is>
          <t>TC_SUP_002</t>
        </is>
      </c>
      <c r="B49" s="20" t="inlineStr">
        <is>
          <t>M29 Help &amp; Support</t>
        </is>
      </c>
      <c r="C49" s="20" t="inlineStr">
        <is>
          <t>Support stays reachable on a lapsed subscription</t>
        </is>
      </c>
      <c r="D49" s="4" t="inlineStr">
        <is>
          <t>High</t>
        </is>
      </c>
      <c r="E49" s="4" t="inlineStr">
        <is>
          <t>Negative</t>
        </is>
      </c>
      <c r="F49" s="20" t="inlineStr">
        <is>
          <t>A school whose subscription has lapsed.</t>
        </is>
      </c>
      <c r="G49" s="20" t="inlineStr">
        <is>
          <t>1. Sign in as the owner of the lapsed school.
2. Observe the locked screen.
3. Locate and open Help and Support.
4. Open live chat and raise a ticket.
5. Confirm the pay-now route works.</t>
        </is>
      </c>
      <c r="H49" s="20" t="inlineStr">
        <is>
          <t>Subscription status: lapsed</t>
        </is>
      </c>
      <c r="I49" s="20" t="inlineStr">
        <is>
          <t>The locked screen offers both a pay-now route and Help and Support. Chat and ticketing work normally. Support is never hidden by gating and no data is lost.</t>
        </is>
      </c>
      <c r="J49" s="20" t="inlineStr"/>
      <c r="K49" s="10" t="inlineStr">
        <is>
          <t>Not-Executed</t>
        </is>
      </c>
      <c r="L49" s="20" t="inlineStr"/>
    </row>
    <row r="50" ht="100" customHeight="1">
      <c r="A50" s="10" t="inlineStr">
        <is>
          <t>TC_BIL_001</t>
        </is>
      </c>
      <c r="B50" s="20" t="inlineStr">
        <is>
          <t>M30 Billing</t>
        </is>
      </c>
      <c r="C50" s="20" t="inlineStr">
        <is>
          <t>Upgrade charges pro-rata and unlocks features immediately</t>
        </is>
      </c>
      <c r="D50" s="4" t="inlineStr">
        <is>
          <t>High</t>
        </is>
      </c>
      <c r="E50" s="4" t="inlineStr">
        <is>
          <t>Functional</t>
        </is>
      </c>
      <c r="F50" s="20" t="inlineStr">
        <is>
          <t>School on Essential with 12 days to renewal. Professional adds transport and payroll.</t>
        </is>
      </c>
      <c r="G50" s="20" t="inlineStr">
        <is>
          <t>1. Sign in as owner.
2. Settings &gt; Billing and Plan.
3. Select Upgrade to Professional.
4. Read the quoted pro-rata amount and confirm.
5. Complete payment.
6. Without signing out, check the nav.</t>
        </is>
      </c>
      <c r="H50" s="20" t="inlineStr">
        <is>
          <t>Essential 45,000/mo; Professional 95,000/mo; 12 days left</t>
        </is>
      </c>
      <c r="I50" s="20" t="inlineStr">
        <is>
          <t>The quote apportions the tier difference to the 12 remaining days, not a full month. On payment the invoice is Paid and the new modules appear in the nav with no re-login.</t>
        </is>
      </c>
      <c r="J50" s="20" t="inlineStr"/>
      <c r="K50" s="10" t="inlineStr">
        <is>
          <t>Not-Executed</t>
        </is>
      </c>
      <c r="L50" s="20" t="inlineStr"/>
    </row>
    <row r="51" ht="100" customHeight="1">
      <c r="A51" s="10" t="inlineStr">
        <is>
          <t>TC_BIL_002</t>
        </is>
      </c>
      <c r="B51" s="20" t="inlineStr">
        <is>
          <t>M30 Billing</t>
        </is>
      </c>
      <c r="C51" s="20" t="inlineStr">
        <is>
          <t>Downgrade is deferred to renewal and issues no credit</t>
        </is>
      </c>
      <c r="D51" s="4" t="inlineStr">
        <is>
          <t>High</t>
        </is>
      </c>
      <c r="E51" s="4" t="inlineStr">
        <is>
          <t>Functional</t>
        </is>
      </c>
      <c r="F51" s="20" t="inlineStr">
        <is>
          <t>School on Professional with 18 days to renewal.</t>
        </is>
      </c>
      <c r="G51" s="20" t="inlineStr">
        <is>
          <t>1. Sign in as owner.
2. Billing and Plan &gt; Downgrade to Essential.
3. Read the lost-features warning.
4. Confirm the scheduled downgrade.
5. Check the plan and nav.
6. Check the ledger and any credit balance.</t>
        </is>
      </c>
      <c r="H51" s="20" t="inlineStr">
        <is>
          <t>Professional 95,000/mo to Essential 45,000/mo; 18 days left</t>
        </is>
      </c>
      <c r="I51" s="20" t="inlineStr">
        <is>
          <t>Plan still reads Professional with all features usable. A pending change shows with its renewal date. No refund, credit balance or adjusting invoice is created anywhere.</t>
        </is>
      </c>
      <c r="J51" s="20" t="inlineStr"/>
      <c r="K51" s="10" t="inlineStr">
        <is>
          <t>Not-Executed</t>
        </is>
      </c>
      <c r="L51" s="20" t="inlineStr"/>
    </row>
    <row r="52" ht="100" customHeight="1">
      <c r="A52" s="10" t="inlineStr">
        <is>
          <t>TC_BIL_003</t>
        </is>
      </c>
      <c r="B52" s="20" t="inlineStr">
        <is>
          <t>M30 Billing</t>
        </is>
      </c>
      <c r="C52" s="20" t="inlineStr">
        <is>
          <t>Subscription invoices never appear in a parent's ledger</t>
        </is>
      </c>
      <c r="D52" s="4" t="inlineStr">
        <is>
          <t>High</t>
        </is>
      </c>
      <c r="E52" s="4" t="inlineStr">
        <is>
          <t>Security</t>
        </is>
      </c>
      <c r="F52" s="20" t="inlineStr">
        <is>
          <t>The school has a pending subscription invoice and at least one parent with children.</t>
        </is>
      </c>
      <c r="G52" s="20" t="inlineStr">
        <is>
          <t>1. As owner confirm a subscription invoice exists under Billing.
2. Note its amount and reference.
3. Sign in as a parent.
4. Open Fees, Wallet and the printed statement.
5. Search for the subscription amount.</t>
        </is>
      </c>
      <c r="H52" s="20" t="inlineStr">
        <is>
          <t>Subscription invoice 95,000</t>
        </is>
      </c>
      <c r="I52" s="20" t="inlineStr">
        <is>
          <t>The subscription invoice appears only in the owner's Billing tab. It is absent from every parent view, the ledger and the printed statement.</t>
        </is>
      </c>
      <c r="J52" s="20" t="inlineStr"/>
      <c r="K52" s="10" t="inlineStr">
        <is>
          <t>Not-Executed</t>
        </is>
      </c>
      <c r="L52" s="20" t="inlineStr"/>
    </row>
    <row r="53" ht="100" customHeight="1">
      <c r="A53" s="10" t="inlineStr">
        <is>
          <t>TC_AI_001</t>
        </is>
      </c>
      <c r="B53" s="20" t="inlineStr">
        <is>
          <t>M31 AI Insights</t>
        </is>
      </c>
      <c r="C53" s="20" t="inlineStr">
        <is>
          <t>Insight rules fire correctly and link to the fix</t>
        </is>
      </c>
      <c r="D53" s="4" t="inlineStr">
        <is>
          <t>Medium</t>
        </is>
      </c>
      <c r="E53" s="4" t="inlineStr">
        <is>
          <t>Functional</t>
        </is>
      </c>
      <c r="F53" s="20" t="inlineStr">
        <is>
          <t>A school with one overdue invoice, one student absent 3 consecutive days and a club with 3 enrolments.</t>
        </is>
      </c>
      <c r="G53" s="20" t="inlineStr">
        <is>
          <t>1. Open Reports &gt; Insights.
2. Check the nav badge count.
3. Read the ordering of items.
4. Confirm each states counts, amounts or names.
5. Click each insight.</t>
        </is>
      </c>
      <c r="H53" s="20" t="inlineStr">
        <is>
          <t>1 overdue invoice; 1 at-risk student; 1 club with 3 enrolments</t>
        </is>
      </c>
      <c r="I53" s="20" t="inlineStr">
        <is>
          <t>Two critical and one info insight appear, ordered critical first. The badge reads 2. Each names specific figures and links to Invoices, Attendance and Activities respectively.</t>
        </is>
      </c>
      <c r="J53" s="20" t="inlineStr"/>
      <c r="K53" s="10" t="inlineStr">
        <is>
          <t>Not-Executed</t>
        </is>
      </c>
      <c r="L53" s="20" t="inlineStr"/>
    </row>
    <row r="54" ht="100" customHeight="1">
      <c r="A54" s="10" t="inlineStr">
        <is>
          <t>TC_PUB_001</t>
        </is>
      </c>
      <c r="B54" s="20" t="inlineStr">
        <is>
          <t>M32 Public Site</t>
        </is>
      </c>
      <c r="C54" s="20" t="inlineStr">
        <is>
          <t>Self-registration creates a pending school behind the gate</t>
        </is>
      </c>
      <c r="D54" s="4" t="inlineStr">
        <is>
          <t>High</t>
        </is>
      </c>
      <c r="E54" s="4" t="inlineStr">
        <is>
          <t>Functional</t>
        </is>
      </c>
      <c r="F54" s="20" t="inlineStr">
        <is>
          <t>No account exists for the registering proprietor.</t>
        </is>
      </c>
      <c r="G54" s="20" t="inlineStr">
        <is>
          <t>1. Open the public site and select Register your school.
2. Complete the details and upload a valid document.
3. Submit.
4. Sign in with the new credentials.
5. Attempt to deep-link to any module.
6. Attempt an oversized document upload.</t>
        </is>
      </c>
      <c r="H54" s="20" t="inlineStr">
        <is>
          <t>School Bright Star; CAC certificate PDF 1.2MB; oversized 15MB file</t>
        </is>
      </c>
      <c r="I54" s="20" t="inlineStr">
        <is>
          <t>The school is created with pending verification status. The gate renders on sign-in and blocks every deep link. The oversized upload is rejected with a clear message.</t>
        </is>
      </c>
      <c r="J54" s="20" t="inlineStr"/>
      <c r="K54" s="10" t="inlineStr">
        <is>
          <t>Not-Executed</t>
        </is>
      </c>
      <c r="L54" s="20" t="inlineStr"/>
    </row>
    <row r="55" ht="100" customHeight="1">
      <c r="A55" s="10" t="inlineStr">
        <is>
          <t>TC_DAS_001</t>
        </is>
      </c>
      <c r="B55" s="20" t="inlineStr">
        <is>
          <t>M33 Dashboards</t>
        </is>
      </c>
      <c r="C55" s="20" t="inlineStr">
        <is>
          <t>Action chips are live and deep-link correctly</t>
        </is>
      </c>
      <c r="D55" s="4" t="inlineStr">
        <is>
          <t>Medium</t>
        </is>
      </c>
      <c r="E55" s="4" t="inlineStr">
        <is>
          <t>Functional</t>
        </is>
      </c>
      <c r="F55" s="20" t="inlineStr">
        <is>
          <t>A school with 3 low-stock items, 2 overdue library books and renewal in 5 days.</t>
        </is>
      </c>
      <c r="G55" s="20" t="inlineStr">
        <is>
          <t>1. Sign in as the owner.
2. Read the chips and their counts.
3. Click the low-stock chip.
4. Return and click the overdue-books chip.
5. Return and click the renewal chip.
6. Resolve the low-stock item and re-check.</t>
        </is>
      </c>
      <c r="H55" s="20" t="inlineStr">
        <is>
          <t>3 low stock; 2 overdue books; renewal in 5 days</t>
        </is>
      </c>
      <c r="I55" s="20" t="inlineStr">
        <is>
          <t>Counts match their source modules. Each chip lands on the exact tab with the relevant filter. The renewal chip is red with a text label, not colour alone. Restocking removes the low-stock chip.</t>
        </is>
      </c>
      <c r="J55" s="20" t="inlineStr"/>
      <c r="K55" s="10" t="inlineStr">
        <is>
          <t>Not-Executed</t>
        </is>
      </c>
      <c r="L55" s="20" t="inlineStr"/>
    </row>
    <row r="56" ht="100" customHeight="1">
      <c r="A56" s="10" t="inlineStr">
        <is>
          <t>TC_PLA_001</t>
        </is>
      </c>
      <c r="B56" s="20" t="inlineStr">
        <is>
          <t>M34 Platform Settings</t>
        </is>
      </c>
      <c r="C56" s="20" t="inlineStr">
        <is>
          <t>Global flag overrides a per-school override</t>
        </is>
      </c>
      <c r="D56" s="4" t="inlineStr">
        <is>
          <t>High</t>
        </is>
      </c>
      <c r="E56" s="4" t="inlineStr">
        <is>
          <t>Functional</t>
        </is>
      </c>
      <c r="F56" s="20" t="inlineStr">
        <is>
          <t>A school has a per-school override switching Transport on.</t>
        </is>
      </c>
      <c r="G56" s="20" t="inlineStr">
        <is>
          <t>1. Confirm Transport is visible to that school.
2. As a COP operator open Platform Settings.
3. Switch the Transport global flag off and confirm.
4. Return to the school session and refresh.
5. Deep-link to Transport.
6. Check the COP activity log.</t>
        </is>
      </c>
      <c r="H56" s="20" t="inlineStr">
        <is>
          <t>School override transport=on; global flag transport=off</t>
        </is>
      </c>
      <c r="I56" s="20" t="inlineStr">
        <is>
          <t>Transport disappears from the school nav despite the override. The deep link renders a locked state with no crash. The change is logged with actor, timestamp and previous value.</t>
        </is>
      </c>
      <c r="J56" s="20" t="inlineStr"/>
      <c r="K56" s="10" t="inlineStr">
        <is>
          <t>Not-Executed</t>
        </is>
      </c>
      <c r="L56" s="20" t="inlineStr"/>
    </row>
    <row r="57" ht="100" customHeight="1">
      <c r="A57" s="10" t="inlineStr">
        <is>
          <t>TC_OFF_001</t>
        </is>
      </c>
      <c r="B57" s="20" t="inlineStr">
        <is>
          <t>X2 Offline</t>
        </is>
      </c>
      <c r="C57" s="20" t="inlineStr">
        <is>
          <t>App is installable and functions offline</t>
        </is>
      </c>
      <c r="D57" s="4" t="inlineStr">
        <is>
          <t>High</t>
        </is>
      </c>
      <c r="E57" s="4" t="inlineStr">
        <is>
          <t>Functional</t>
        </is>
      </c>
      <c r="F57" s="20" t="inlineStr">
        <is>
          <t>The school URL is reachable and the user has signed in at least once online.</t>
        </is>
      </c>
      <c r="G57" s="20" t="inlineStr">
        <is>
          <t>1. Open the school URL in a supported browser.
2. Install to the home screen.
3. Confirm the icon and name.
4. Enable airplane mode.
5. Launch the installed app.
6. Navigate dashboard, students and attendance.</t>
        </is>
      </c>
      <c r="H57" s="20" t="inlineStr">
        <is>
          <t>Chrome or Edge on Android or desktop</t>
        </is>
      </c>
      <c r="I57" s="20" t="inlineStr">
        <is>
          <t>Install succeeds with the school's branding. The app launches offline, renders cached data, shows an offline indicator, and connectivity-dependent actions are disabled with an explanation.</t>
        </is>
      </c>
      <c r="J57" s="20" t="inlineStr"/>
      <c r="K57" s="10" t="inlineStr">
        <is>
          <t>Not-Executed</t>
        </is>
      </c>
      <c r="L57" s="20" t="inlineStr"/>
    </row>
    <row r="58" ht="100" customHeight="1">
      <c r="A58" s="10" t="inlineStr">
        <is>
          <t>TC_USA_001</t>
        </is>
      </c>
      <c r="B58" s="20" t="inlineStr">
        <is>
          <t>X3 Usability</t>
        </is>
      </c>
      <c r="C58" s="20" t="inlineStr">
        <is>
          <t>Irreversible actions require explicit confirmation</t>
        </is>
      </c>
      <c r="D58" s="4" t="inlineStr">
        <is>
          <t>Medium</t>
        </is>
      </c>
      <c r="E58" s="4" t="inlineStr">
        <is>
          <t>UI</t>
        </is>
      </c>
      <c r="F58" s="20" t="inlineStr">
        <is>
          <t>Admin signed in with deletable records available.</t>
        </is>
      </c>
      <c r="G58" s="20" t="inlineStr">
        <is>
          <t>1. Attempt to delete a student record.
2. Observe the prompt and cancel.
3. Confirm the record still exists.
4. Repeat for deactivating a store item and restoring a data backup.</t>
        </is>
      </c>
      <c r="H58" s="20" t="inlineStr">
        <is>
          <t>Any deletable record; a backup snapshot</t>
        </is>
      </c>
      <c r="I58" s="20" t="inlineStr">
        <is>
          <t>Each irreversible action raises a confirmation naming the specific record. Cancelling leaves it untouched. Restore requires confirming the school name before proceeding.</t>
        </is>
      </c>
      <c r="J58" s="20" t="inlineStr"/>
      <c r="K58" s="10" t="inlineStr">
        <is>
          <t>Not-Executed</t>
        </is>
      </c>
      <c r="L58" s="20" t="inlineStr"/>
    </row>
    <row r="59" ht="100" customHeight="1">
      <c r="A59" s="10" t="inlineStr">
        <is>
          <t>TC_USA_002</t>
        </is>
      </c>
      <c r="B59" s="20" t="inlineStr">
        <is>
          <t>X3 Usability</t>
        </is>
      </c>
      <c r="C59" s="20" t="inlineStr">
        <is>
          <t>Status is never conveyed by colour alone</t>
        </is>
      </c>
      <c r="D59" s="4" t="inlineStr">
        <is>
          <t>Medium</t>
        </is>
      </c>
      <c r="E59" s="4" t="inlineStr">
        <is>
          <t>Accessibility</t>
        </is>
      </c>
      <c r="F59" s="20" t="inlineStr">
        <is>
          <t>Records exist in Passed, Failed, Overdue, Paid and Pending states across modules.</t>
        </is>
      </c>
      <c r="G59" s="20" t="inlineStr">
        <is>
          <t>1. Open Invoices, Results, Attendance and the Library overdue tab.
2. Inspect each status indicator.
3. Re-inspect under a greyscale or colour-blindness simulation.
4. Check text and background contrast.</t>
        </is>
      </c>
      <c r="H59" s="20" t="inlineStr">
        <is>
          <t>Greyscale / deuteranopia simulation</t>
        </is>
      </c>
      <c r="I59" s="20" t="inlineStr">
        <is>
          <t>Every status carries a text label or icon alongside colour. All states stay distinguishable in greyscale and contrast meets WCAG AA.</t>
        </is>
      </c>
      <c r="J59" s="20" t="inlineStr"/>
      <c r="K59" s="10" t="inlineStr">
        <is>
          <t>Not-Executed</t>
        </is>
      </c>
      <c r="L59" s="20" t="inlineStr"/>
    </row>
  </sheetData>
  <conditionalFormatting sqref="K2:K59">
    <cfRule type="cellIs" priority="1" operator="equal" dxfId="0">
      <formula>"Passed"</formula>
    </cfRule>
    <cfRule type="cellIs" priority="2" operator="equal" dxfId="1">
      <formula>"Failed"</formula>
    </cfRule>
    <cfRule type="cellIs" priority="3" operator="equal" dxfId="2">
      <formula>"Blocker"</formula>
    </cfRule>
    <cfRule type="cellIs" priority="4" operator="equal" dxfId="3">
      <formula>"N/A"</formula>
    </cfRule>
  </conditionalFormatting>
  <dataValidations count="2">
    <dataValidation sqref="K2:K59" showDropDown="0" showInputMessage="0" showErrorMessage="0" allowBlank="1" type="list">
      <formula1>"Not-Executed,Passed,Failed,Blocker,N/A"</formula1>
    </dataValidation>
    <dataValidation sqref="D2:D59"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2026-09-07T15:19:58Z</dcterms:created>
  <dcterms:modified xmlns:dcterms="http://purl.org/dc/terms/" xmlns:xsi="http://www.w3.org/2001/XMLSchema-instance" xsi:type="dcterms:W3CDTF">2026-09-07T15:19:58Z</dcterms:modified>
</cp:coreProperties>
</file>