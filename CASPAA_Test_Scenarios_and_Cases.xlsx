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uth &amp; Tenancy" sheetId="2" state="visible" r:id="rId2"/>
    <sheet xmlns:r="http://schemas.openxmlformats.org/officeDocument/2006/relationships" name="Students &amp; Admissions" sheetId="3" state="visible" r:id="rId3"/>
    <sheet xmlns:r="http://schemas.openxmlformats.org/officeDocument/2006/relationships" name="Attendance" sheetId="4" state="visible" r:id="rId4"/>
    <sheet xmlns:r="http://schemas.openxmlformats.org/officeDocument/2006/relationships" name="Results &amp; Reporting" sheetId="5" state="visible" r:id="rId5"/>
    <sheet xmlns:r="http://schemas.openxmlformats.org/officeDocument/2006/relationships" name="Finance &amp; Fees (Ledger)" sheetId="6" state="visible" r:id="rId6"/>
    <sheet xmlns:r="http://schemas.openxmlformats.org/officeDocument/2006/relationships" name="Payments" sheetId="7" state="visible" r:id="rId7"/>
    <sheet xmlns:r="http://schemas.openxmlformats.org/officeDocument/2006/relationships" name="Subscription &amp; Billing" sheetId="8" state="visible" r:id="rId8"/>
    <sheet xmlns:r="http://schemas.openxmlformats.org/officeDocument/2006/relationships" name="Multi-branch &amp; Entitlements" sheetId="9" state="visible" r:id="rId9"/>
    <sheet xmlns:r="http://schemas.openxmlformats.org/officeDocument/2006/relationships" name="Notifications" sheetId="10" state="visible" r:id="rId10"/>
    <sheet xmlns:r="http://schemas.openxmlformats.org/officeDocument/2006/relationships" name="Offline &amp; PWA" sheetId="11" state="visible" r:id="rId11"/>
    <sheet xmlns:r="http://schemas.openxmlformats.org/officeDocument/2006/relationships" name="Usability" sheetId="12" state="visible" r:id="rId12"/>
    <sheet xmlns:r="http://schemas.openxmlformats.org/officeDocument/2006/relationships" name="Test Cases (Detailed)"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sz val="10"/>
    </font>
    <font>
      <name val="Calibri"/>
      <b val="1"/>
      <sz val="10"/>
    </font>
    <font>
      <name val="Calibri"/>
      <b val="1"/>
      <color rgb="00FFFFFF"/>
      <sz val="12"/>
    </font>
    <font>
      <name val="Calibri"/>
      <b val="1"/>
      <color rgb="00FFFFFF"/>
      <sz val="14"/>
    </font>
    <font>
      <name val="Calibri"/>
      <b val="1"/>
      <color rgb="00FFFFFF"/>
      <sz val="10"/>
    </font>
    <font>
      <name val="Calibri"/>
      <b val="1"/>
      <sz val="11"/>
    </font>
    <font>
      <name val="Calibri"/>
      <b val="1"/>
      <color rgb="001B7F3B"/>
      <sz val="10"/>
    </font>
    <font>
      <name val="Calibri"/>
      <b val="1"/>
      <color rgb="009C0006"/>
      <sz val="10"/>
    </font>
  </fonts>
  <fills count="8">
    <fill>
      <patternFill/>
    </fill>
    <fill>
      <patternFill patternType="gray125"/>
    </fill>
    <fill>
      <patternFill patternType="solid">
        <fgColor rgb="001F5FAD"/>
      </patternFill>
    </fill>
    <fill>
      <patternFill patternType="solid">
        <fgColor rgb="002E75B6"/>
      </patternFill>
    </fill>
    <fill>
      <patternFill patternType="solid">
        <fgColor rgb="00C6EFCE"/>
      </patternFill>
    </fill>
    <fill>
      <patternFill patternType="solid">
        <fgColor rgb="00FFC7CE"/>
      </patternFill>
    </fill>
    <fill>
      <patternFill patternType="solid">
        <fgColor rgb="003B3B3B"/>
      </patternFill>
    </fill>
    <fill>
      <patternFill patternType="solid">
        <fgColor rgb="00E7E9EC"/>
      </patternFill>
    </fill>
  </fills>
  <borders count="2">
    <border>
      <left/>
      <right/>
      <top/>
      <bottom/>
      <diagonal/>
    </border>
    <border>
      <left style="thin">
        <color rgb="00B7C2CC"/>
      </left>
      <right style="thin">
        <color rgb="00B7C2CC"/>
      </right>
      <top style="thin">
        <color rgb="00B7C2CC"/>
      </top>
      <bottom style="thin">
        <color rgb="00B7C2CC"/>
      </bottom>
    </border>
  </borders>
  <cellStyleXfs count="1">
    <xf numFmtId="0" fontId="0" fillId="0" borderId="0"/>
  </cellStyleXfs>
  <cellXfs count="22">
    <xf numFmtId="0" fontId="0" fillId="0" borderId="0" pivotButton="0" quotePrefix="0" xfId="0"/>
    <xf numFmtId="0" fontId="5"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6" fillId="2" borderId="1" pivotButton="0" quotePrefix="0" xfId="0"/>
    <xf numFmtId="0" fontId="6" fillId="2" borderId="1" applyAlignment="1" pivotButton="0" quotePrefix="0" xfId="0">
      <alignment horizontal="center" vertical="center" wrapText="1"/>
    </xf>
    <xf numFmtId="9" fontId="6" fillId="2" borderId="1" applyAlignment="1" pivotButton="0" quotePrefix="0" xfId="0">
      <alignment horizontal="center" vertical="center" wrapText="1"/>
    </xf>
    <xf numFmtId="0" fontId="7" fillId="0" borderId="0" pivotButton="0" quotePrefix="0" xfId="0"/>
    <xf numFmtId="0" fontId="3" fillId="0" borderId="1" applyAlignment="1" pivotButton="0" quotePrefix="0" xfId="0">
      <alignment horizontal="center" vertical="center" wrapText="1"/>
    </xf>
    <xf numFmtId="0" fontId="2" fillId="0" borderId="0" applyAlignment="1" pivotButton="0" quotePrefix="0" xfId="0">
      <alignment vertical="center"/>
    </xf>
    <xf numFmtId="0" fontId="8"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0" borderId="0" pivotButton="0" quotePrefix="0" xfId="0"/>
    <xf numFmtId="0" fontId="2" fillId="0" borderId="0" pivotButton="0" quotePrefix="0" xfId="0"/>
    <xf numFmtId="0" fontId="4"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dxfs count="4">
    <dxf>
      <font>
        <name val="Calibri"/>
        <b val="1"/>
        <color rgb="001B7F3B"/>
        <sz val="10"/>
      </font>
      <fill>
        <patternFill patternType="solid">
          <fgColor rgb="00C6EFCE"/>
        </patternFill>
      </fill>
    </dxf>
    <dxf>
      <font>
        <name val="Calibri"/>
        <b val="1"/>
        <color rgb="009C0006"/>
        <sz val="10"/>
      </font>
      <fill>
        <patternFill patternType="solid">
          <fgColor rgb="00FFC7CE"/>
        </patternFill>
      </fill>
    </dxf>
    <dxf>
      <font>
        <name val="Calibri"/>
        <b val="1"/>
        <color rgb="00FFFFFF"/>
        <sz val="10"/>
      </font>
      <fill>
        <patternFill patternType="solid">
          <fgColor rgb="003B3B3B"/>
        </patternFill>
      </fill>
    </dxf>
    <dxf>
      <fill>
        <patternFill patternType="solid">
          <fgColor rgb="00E7E9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5" customWidth="1" min="6" max="6"/>
    <col width="13" customWidth="1" min="7" max="7"/>
  </cols>
  <sheetData>
    <row r="1" ht="30" customHeight="1">
      <c r="A1" s="1" t="inlineStr">
        <is>
          <t>CASPAA — School Operating System · Test Execution Summary</t>
        </is>
      </c>
    </row>
    <row r="3" ht="26" customHeight="1">
      <c r="A3" s="2" t="inlineStr">
        <is>
          <t>Test Area</t>
        </is>
      </c>
      <c r="B3" s="2" t="inlineStr">
        <is>
          <t>Total</t>
        </is>
      </c>
      <c r="C3" s="2" t="inlineStr">
        <is>
          <t>Passed</t>
        </is>
      </c>
      <c r="D3" s="2" t="inlineStr">
        <is>
          <t>Failed</t>
        </is>
      </c>
      <c r="E3" s="2" t="inlineStr">
        <is>
          <t>Blocker</t>
        </is>
      </c>
      <c r="F3" s="2" t="inlineStr">
        <is>
          <t>Not-Executed</t>
        </is>
      </c>
      <c r="G3" s="2" t="inlineStr">
        <is>
          <t>% Executed</t>
        </is>
      </c>
    </row>
    <row r="4">
      <c r="A4" s="3" t="inlineStr">
        <is>
          <t>Auth &amp; Tenancy</t>
        </is>
      </c>
      <c r="B4" s="4">
        <f>'Auth &amp; Tenancy'!F3</f>
        <v/>
      </c>
      <c r="C4" s="4">
        <f>'Auth &amp; Tenancy'!G3</f>
        <v/>
      </c>
      <c r="D4" s="4">
        <f>'Auth &amp; Tenancy'!H3</f>
        <v/>
      </c>
      <c r="E4" s="4">
        <f>'Auth &amp; Tenancy'!I3</f>
        <v/>
      </c>
      <c r="F4" s="4">
        <f>'Auth &amp; Tenancy'!J3</f>
        <v/>
      </c>
      <c r="G4" s="5">
        <f>IF(B4=0,0,(B4-F4)/B4)</f>
        <v/>
      </c>
    </row>
    <row r="5">
      <c r="A5" s="3" t="inlineStr">
        <is>
          <t>Students &amp; Admissions</t>
        </is>
      </c>
      <c r="B5" s="4">
        <f>'Students &amp; Admissions'!F3</f>
        <v/>
      </c>
      <c r="C5" s="4">
        <f>'Students &amp; Admissions'!G3</f>
        <v/>
      </c>
      <c r="D5" s="4">
        <f>'Students &amp; Admissions'!H3</f>
        <v/>
      </c>
      <c r="E5" s="4">
        <f>'Students &amp; Admissions'!I3</f>
        <v/>
      </c>
      <c r="F5" s="4">
        <f>'Students &amp; Admissions'!J3</f>
        <v/>
      </c>
      <c r="G5" s="5">
        <f>IF(B5=0,0,(B5-F5)/B5)</f>
        <v/>
      </c>
    </row>
    <row r="6">
      <c r="A6" s="3" t="inlineStr">
        <is>
          <t>Attendance</t>
        </is>
      </c>
      <c r="B6" s="4">
        <f>'Attendance'!F3</f>
        <v/>
      </c>
      <c r="C6" s="4">
        <f>'Attendance'!G3</f>
        <v/>
      </c>
      <c r="D6" s="4">
        <f>'Attendance'!H3</f>
        <v/>
      </c>
      <c r="E6" s="4">
        <f>'Attendance'!I3</f>
        <v/>
      </c>
      <c r="F6" s="4">
        <f>'Attendance'!J3</f>
        <v/>
      </c>
      <c r="G6" s="5">
        <f>IF(B6=0,0,(B6-F6)/B6)</f>
        <v/>
      </c>
    </row>
    <row r="7">
      <c r="A7" s="3" t="inlineStr">
        <is>
          <t>Results &amp; Reporting</t>
        </is>
      </c>
      <c r="B7" s="4">
        <f>'Results &amp; Reporting'!F3</f>
        <v/>
      </c>
      <c r="C7" s="4">
        <f>'Results &amp; Reporting'!G3</f>
        <v/>
      </c>
      <c r="D7" s="4">
        <f>'Results &amp; Reporting'!H3</f>
        <v/>
      </c>
      <c r="E7" s="4">
        <f>'Results &amp; Reporting'!I3</f>
        <v/>
      </c>
      <c r="F7" s="4">
        <f>'Results &amp; Reporting'!J3</f>
        <v/>
      </c>
      <c r="G7" s="5">
        <f>IF(B7=0,0,(B7-F7)/B7)</f>
        <v/>
      </c>
    </row>
    <row r="8">
      <c r="A8" s="3" t="inlineStr">
        <is>
          <t>Finance &amp; Fees (Ledger)</t>
        </is>
      </c>
      <c r="B8" s="4">
        <f>'Finance &amp; Fees (Ledger)'!F3</f>
        <v/>
      </c>
      <c r="C8" s="4">
        <f>'Finance &amp; Fees (Ledger)'!G3</f>
        <v/>
      </c>
      <c r="D8" s="4">
        <f>'Finance &amp; Fees (Ledger)'!H3</f>
        <v/>
      </c>
      <c r="E8" s="4">
        <f>'Finance &amp; Fees (Ledger)'!I3</f>
        <v/>
      </c>
      <c r="F8" s="4">
        <f>'Finance &amp; Fees (Ledger)'!J3</f>
        <v/>
      </c>
      <c r="G8" s="5">
        <f>IF(B8=0,0,(B8-F8)/B8)</f>
        <v/>
      </c>
    </row>
    <row r="9">
      <c r="A9" s="3" t="inlineStr">
        <is>
          <t>Payments</t>
        </is>
      </c>
      <c r="B9" s="4">
        <f>'Payments'!F3</f>
        <v/>
      </c>
      <c r="C9" s="4">
        <f>'Payments'!G3</f>
        <v/>
      </c>
      <c r="D9" s="4">
        <f>'Payments'!H3</f>
        <v/>
      </c>
      <c r="E9" s="4">
        <f>'Payments'!I3</f>
        <v/>
      </c>
      <c r="F9" s="4">
        <f>'Payments'!J3</f>
        <v/>
      </c>
      <c r="G9" s="5">
        <f>IF(B9=0,0,(B9-F9)/B9)</f>
        <v/>
      </c>
    </row>
    <row r="10">
      <c r="A10" s="3" t="inlineStr">
        <is>
          <t>Subscription &amp; Billing</t>
        </is>
      </c>
      <c r="B10" s="4">
        <f>'Subscription &amp; Billing'!F3</f>
        <v/>
      </c>
      <c r="C10" s="4">
        <f>'Subscription &amp; Billing'!G3</f>
        <v/>
      </c>
      <c r="D10" s="4">
        <f>'Subscription &amp; Billing'!H3</f>
        <v/>
      </c>
      <c r="E10" s="4">
        <f>'Subscription &amp; Billing'!I3</f>
        <v/>
      </c>
      <c r="F10" s="4">
        <f>'Subscription &amp; Billing'!J3</f>
        <v/>
      </c>
      <c r="G10" s="5">
        <f>IF(B10=0,0,(B10-F10)/B10)</f>
        <v/>
      </c>
    </row>
    <row r="11">
      <c r="A11" s="3" t="inlineStr">
        <is>
          <t>Multi-branch &amp; Entitlements</t>
        </is>
      </c>
      <c r="B11" s="4">
        <f>'Multi-branch &amp; Entitlements'!F3</f>
        <v/>
      </c>
      <c r="C11" s="4">
        <f>'Multi-branch &amp; Entitlements'!G3</f>
        <v/>
      </c>
      <c r="D11" s="4">
        <f>'Multi-branch &amp; Entitlements'!H3</f>
        <v/>
      </c>
      <c r="E11" s="4">
        <f>'Multi-branch &amp; Entitlements'!I3</f>
        <v/>
      </c>
      <c r="F11" s="4">
        <f>'Multi-branch &amp; Entitlements'!J3</f>
        <v/>
      </c>
      <c r="G11" s="5">
        <f>IF(B11=0,0,(B11-F11)/B11)</f>
        <v/>
      </c>
    </row>
    <row r="12">
      <c r="A12" s="3" t="inlineStr">
        <is>
          <t>Notifications</t>
        </is>
      </c>
      <c r="B12" s="4">
        <f>'Notifications'!F3</f>
        <v/>
      </c>
      <c r="C12" s="4">
        <f>'Notifications'!G3</f>
        <v/>
      </c>
      <c r="D12" s="4">
        <f>'Notifications'!H3</f>
        <v/>
      </c>
      <c r="E12" s="4">
        <f>'Notifications'!I3</f>
        <v/>
      </c>
      <c r="F12" s="4">
        <f>'Notifications'!J3</f>
        <v/>
      </c>
      <c r="G12" s="5">
        <f>IF(B12=0,0,(B12-F12)/B12)</f>
        <v/>
      </c>
    </row>
    <row r="13">
      <c r="A13" s="3" t="inlineStr">
        <is>
          <t>Offline &amp; PWA</t>
        </is>
      </c>
      <c r="B13" s="4">
        <f>'Offline &amp; PWA'!F3</f>
        <v/>
      </c>
      <c r="C13" s="4">
        <f>'Offline &amp; PWA'!G3</f>
        <v/>
      </c>
      <c r="D13" s="4">
        <f>'Offline &amp; PWA'!H3</f>
        <v/>
      </c>
      <c r="E13" s="4">
        <f>'Offline &amp; PWA'!I3</f>
        <v/>
      </c>
      <c r="F13" s="4">
        <f>'Offline &amp; PWA'!J3</f>
        <v/>
      </c>
      <c r="G13" s="5">
        <f>IF(B13=0,0,(B13-F13)/B13)</f>
        <v/>
      </c>
    </row>
    <row r="14">
      <c r="A14" s="3" t="inlineStr">
        <is>
          <t>Usability</t>
        </is>
      </c>
      <c r="B14" s="4">
        <f>'Usability'!F3</f>
        <v/>
      </c>
      <c r="C14" s="4">
        <f>'Usability'!G3</f>
        <v/>
      </c>
      <c r="D14" s="4">
        <f>'Usability'!H3</f>
        <v/>
      </c>
      <c r="E14" s="4">
        <f>'Usability'!I3</f>
        <v/>
      </c>
      <c r="F14" s="4">
        <f>'Usability'!J3</f>
        <v/>
      </c>
      <c r="G14" s="5">
        <f>IF(B14=0,0,(B14-F14)/B14)</f>
        <v/>
      </c>
    </row>
    <row r="15">
      <c r="A15" s="6" t="inlineStr">
        <is>
          <t>TOTAL</t>
        </is>
      </c>
      <c r="B15" s="7">
        <f>SUM(B4:B14)</f>
        <v/>
      </c>
      <c r="C15" s="7">
        <f>SUM(C4:C14)</f>
        <v/>
      </c>
      <c r="D15" s="7">
        <f>SUM(D4:D14)</f>
        <v/>
      </c>
      <c r="E15" s="7">
        <f>SUM(E4:E14)</f>
        <v/>
      </c>
      <c r="F15" s="7">
        <f>SUM(F4:F14)</f>
        <v/>
      </c>
      <c r="G15" s="8">
        <f>IF(B15=0,0,(B15-F15)/B15)</f>
        <v/>
      </c>
    </row>
    <row r="18">
      <c r="A18" s="9" t="inlineStr">
        <is>
          <t>Status legend</t>
        </is>
      </c>
    </row>
    <row r="19">
      <c r="A19" s="10" t="inlineStr">
        <is>
          <t>Not-Executed</t>
        </is>
      </c>
      <c r="B19" s="11" t="inlineStr">
        <is>
          <t>Written but not yet run in this cycle.</t>
        </is>
      </c>
    </row>
    <row r="20">
      <c r="A20" s="12" t="inlineStr">
        <is>
          <t>Passed</t>
        </is>
      </c>
      <c r="B20" s="11" t="inlineStr">
        <is>
          <t>Actual result matched the expected result.</t>
        </is>
      </c>
    </row>
    <row r="21">
      <c r="A21" s="13" t="inlineStr">
        <is>
          <t>Failed</t>
        </is>
      </c>
      <c r="B21" s="11" t="inlineStr">
        <is>
          <t>Actual result differed. Log a defect and reference it in Comment.</t>
        </is>
      </c>
    </row>
    <row r="22">
      <c r="A22" s="14" t="inlineStr">
        <is>
          <t>Blocker</t>
        </is>
      </c>
      <c r="B22" s="11" t="inlineStr">
        <is>
          <t>Could not be executed — a defect or missing data blocks the path.</t>
        </is>
      </c>
    </row>
    <row r="23">
      <c r="A23" s="15" t="inlineStr">
        <is>
          <t>N/A</t>
        </is>
      </c>
      <c r="B23" s="11" t="inlineStr">
        <is>
          <t>Not applicable to this build, plan tier or platform.</t>
        </is>
      </c>
    </row>
    <row r="26">
      <c r="A26" s="16" t="inlineStr">
        <is>
          <t>How to use this workbook</t>
        </is>
      </c>
    </row>
    <row r="27">
      <c r="A27" s="17" t="inlineStr">
        <is>
          <t>1. Upload to Google Drive and open with Google Sheets — tabs, dropdowns and colour rules are preserved.</t>
        </is>
      </c>
    </row>
    <row r="28">
      <c r="A28" s="17" t="inlineStr">
        <is>
          <t>2. Work one tab at a time. Set Status from the dropdown in column C; the counters in F3:J3 update live.</t>
        </is>
      </c>
    </row>
    <row r="29">
      <c r="A29" s="17" t="inlineStr">
        <is>
          <t>3. Record a defect ID and a one-line observation in Comment for every Failed or Blocker.</t>
        </is>
      </c>
    </row>
    <row r="30">
      <c r="A30" s="17" t="inlineStr">
        <is>
          <t>4. The Summary tab above rolls up every scenario tab automatically — do not overwrite its formulas.</t>
        </is>
      </c>
    </row>
    <row r="31">
      <c r="A31" s="17" t="inlineStr">
        <is>
          <t>5. 'Test Cases (Detailed)' holds step-level cases for the highest-risk flows; scenario tabs stay one-line.</t>
        </is>
      </c>
    </row>
    <row r="32">
      <c r="A32" s="17" t="inlineStr">
        <is>
          <t>6. Re-baseline by setting every Status back to Not-Executed at the start of each regression cycle.</t>
        </is>
      </c>
    </row>
  </sheetData>
  <mergeCells count="13">
    <mergeCell ref="A32:G32"/>
    <mergeCell ref="B19:G19"/>
    <mergeCell ref="B20:G20"/>
    <mergeCell ref="A1:G1"/>
    <mergeCell ref="B22:G22"/>
    <mergeCell ref="A27:G27"/>
    <mergeCell ref="A31:G31"/>
    <mergeCell ref="B23:G23"/>
    <mergeCell ref="A26:G26"/>
    <mergeCell ref="A30:G30"/>
    <mergeCell ref="A29:G29"/>
    <mergeCell ref="B21:G21"/>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a user can sign in at the unified login and lands in the portal built for their role.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invalid credentials show a clear error without revealing whether the email exists.</t>
        </is>
      </c>
      <c r="C3" s="10" t="inlineStr">
        <is>
          <t>Not-Executed</t>
        </is>
      </c>
      <c r="D3" s="21" t="inlineStr"/>
      <c r="F3" s="10">
        <f>COUNTA(B2:B18)</f>
        <v/>
      </c>
      <c r="G3" s="10">
        <f>COUNTIF(C2:C18,"Passed")</f>
        <v/>
      </c>
      <c r="H3" s="10">
        <f>COUNTIF(C2:C18,"Failed")</f>
        <v/>
      </c>
      <c r="I3" s="10">
        <f>COUNTIF(C2:C18,"Blocker")</f>
        <v/>
      </c>
      <c r="J3" s="10">
        <f>COUNTIF(C2:C18,"Not-Executed")</f>
        <v/>
      </c>
    </row>
    <row r="4">
      <c r="A4" s="19" t="n">
        <v>3</v>
      </c>
      <c r="B4" s="20" t="inlineStr">
        <is>
          <t>Verify that a school owner signing in lands on the admin dashboard with the full module navigation.</t>
        </is>
      </c>
      <c r="C4" s="10" t="inlineStr">
        <is>
          <t>Not-Executed</t>
        </is>
      </c>
      <c r="D4" s="21" t="inlineStr"/>
    </row>
    <row r="5">
      <c r="A5" s="19" t="n">
        <v>4</v>
      </c>
      <c r="B5" s="20" t="inlineStr">
        <is>
          <t>Verify that a parent signing in can see only their own children's data.</t>
        </is>
      </c>
      <c r="C5" s="10" t="inlineStr">
        <is>
          <t>Not-Executed</t>
        </is>
      </c>
      <c r="D5" s="21" t="inlineStr"/>
    </row>
    <row r="6">
      <c r="A6" s="19" t="n">
        <v>5</v>
      </c>
      <c r="B6" s="20" t="inlineStr">
        <is>
          <t>Verify that a teacher cannot reach any finance view via a direct URL or deep link.</t>
        </is>
      </c>
      <c r="C6" s="10" t="inlineStr">
        <is>
          <t>Not-Executed</t>
        </is>
      </c>
      <c r="D6" s="21" t="inlineStr"/>
    </row>
    <row r="7">
      <c r="A7" s="19" t="n">
        <v>6</v>
      </c>
      <c r="B7" s="20" t="inlineStr">
        <is>
          <t>Verify that data belonging to one school is never visible to a user of another school.</t>
        </is>
      </c>
      <c r="C7" s="10" t="inlineStr">
        <is>
          <t>Not-Executed</t>
        </is>
      </c>
      <c r="D7" s="21" t="inlineStr"/>
    </row>
    <row r="8">
      <c r="A8" s="19" t="n">
        <v>7</v>
      </c>
      <c r="B8" s="20" t="inlineStr">
        <is>
          <t>Verify that a self-registered proprietor is held at the verification gate and reaches no dashboard view.</t>
        </is>
      </c>
      <c r="C8" s="10" t="inlineStr">
        <is>
          <t>Not-Executed</t>
        </is>
      </c>
      <c r="D8" s="21" t="inlineStr"/>
    </row>
    <row r="9">
      <c r="A9" s="19" t="n">
        <v>8</v>
      </c>
      <c r="B9" s="20" t="inlineStr">
        <is>
          <t>Verify that the verification screen shows school name, official email and the documents submitted.</t>
        </is>
      </c>
      <c r="C9" s="10" t="inlineStr">
        <is>
          <t>Not-Executed</t>
        </is>
      </c>
      <c r="D9" s="21" t="inlineStr"/>
    </row>
    <row r="10">
      <c r="A10" s="19" t="n">
        <v>9</v>
      </c>
      <c r="B10" s="20" t="inlineStr">
        <is>
          <t>Verify that a rejected proprietor sees the reviewer's reason verbatim and can re-submit a document.</t>
        </is>
      </c>
      <c r="C10" s="10" t="inlineStr">
        <is>
          <t>Not-Executed</t>
        </is>
      </c>
      <c r="D10" s="21" t="inlineStr"/>
    </row>
    <row r="11">
      <c r="A11" s="19" t="n">
        <v>10</v>
      </c>
      <c r="B11" s="20" t="inlineStr">
        <is>
          <t>Verify that approving a school in the COP lifts the gate without requiring the proprietor to sign in again.</t>
        </is>
      </c>
      <c r="C11" s="10" t="inlineStr">
        <is>
          <t>Not-Executed</t>
        </is>
      </c>
      <c r="D11" s="21" t="inlineStr"/>
    </row>
    <row r="12">
      <c r="A12" s="19" t="n">
        <v>11</v>
      </c>
      <c r="B12" s="20" t="inlineStr">
        <is>
          <t>Verify that a suspended school's users are blocked from signing in immediately.</t>
        </is>
      </c>
      <c r="C12" s="10" t="inlineStr">
        <is>
          <t>Not-Executed</t>
        </is>
      </c>
      <c r="D12" s="21" t="inlineStr"/>
    </row>
    <row r="13">
      <c r="A13" s="19" t="n">
        <v>12</v>
      </c>
      <c r="B13" s="20" t="inlineStr">
        <is>
          <t>Verify that Sign out is always reachable from the verification gate.</t>
        </is>
      </c>
      <c r="C13" s="10" t="inlineStr">
        <is>
          <t>Not-Executed</t>
        </is>
      </c>
      <c r="D13" s="21" t="inlineStr"/>
    </row>
    <row r="14">
      <c r="A14" s="19" t="n">
        <v>13</v>
      </c>
      <c r="B14" s="20" t="inlineStr">
        <is>
          <t>Verify that the session times out and logs the user out after the configured idle period.</t>
        </is>
      </c>
      <c r="C14" s="10" t="inlineStr">
        <is>
          <t>Not-Executed</t>
        </is>
      </c>
      <c r="D14" s="21" t="inlineStr"/>
    </row>
    <row r="15">
      <c r="A15" s="19" t="n">
        <v>14</v>
      </c>
      <c r="B15" s="20" t="inlineStr">
        <is>
          <t>Verify that deep-linking to a view the role lacks shows a denied screen, not a blank page or a crash.</t>
        </is>
      </c>
      <c r="C15" s="10" t="inlineStr">
        <is>
          <t>Not-Executed</t>
        </is>
      </c>
      <c r="D15" s="21" t="inlineStr"/>
    </row>
    <row r="16">
      <c r="A16" s="19" t="n">
        <v>15</v>
      </c>
      <c r="B16" s="20" t="inlineStr">
        <is>
          <t>Verify that switching branches re-scopes every module to the newly active branch.</t>
        </is>
      </c>
      <c r="C16" s="10" t="inlineStr">
        <is>
          <t>Not-Executed</t>
        </is>
      </c>
      <c r="D16" s="21" t="inlineStr"/>
    </row>
    <row r="17">
      <c r="A17" s="19" t="n">
        <v>16</v>
      </c>
      <c r="B17" s="20" t="inlineStr">
        <is>
          <t>Verify that the active branch is clearly indicated in the header at all times.</t>
        </is>
      </c>
      <c r="C17" s="10" t="inlineStr">
        <is>
          <t>Not-Executed</t>
        </is>
      </c>
      <c r="D17" s="21" t="inlineStr"/>
    </row>
    <row r="18">
      <c r="A18" s="19" t="n">
        <v>17</v>
      </c>
      <c r="B18" s="20" t="inlineStr">
        <is>
          <t>Verify that a password reset link expires after use and cannot be replayed.</t>
        </is>
      </c>
      <c r="C18" s="10" t="inlineStr">
        <is>
          <t>Not-Executed</t>
        </is>
      </c>
      <c r="D18" s="21" t="inlineStr"/>
    </row>
  </sheetData>
  <mergeCells count="1">
    <mergeCell ref="F1:J1"/>
  </mergeCells>
  <conditionalFormatting sqref="C2:C18">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8" showDropDown="0" showInputMessage="0" showErrorMessage="0" allowBlank="1" type="list">
      <formula1>"Not-Executed,Passed,Failed,Blocker,N/A"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a student can be added with name, DOB, gender, class, house, admission number, photo and parent link.</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duplicate admission number is rejected with a clear error and the student is not saved.</t>
        </is>
      </c>
      <c r="C3" s="10" t="inlineStr">
        <is>
          <t>Not-Executed</t>
        </is>
      </c>
      <c r="D3" s="21" t="inlineStr"/>
      <c r="F3" s="10">
        <f>COUNTA(B2:B20)</f>
        <v/>
      </c>
      <c r="G3" s="10">
        <f>COUNTIF(C2:C20,"Passed")</f>
        <v/>
      </c>
      <c r="H3" s="10">
        <f>COUNTIF(C2:C20,"Failed")</f>
        <v/>
      </c>
      <c r="I3" s="10">
        <f>COUNTIF(C2:C20,"Blocker")</f>
        <v/>
      </c>
      <c r="J3" s="10">
        <f>COUNTIF(C2:C20,"Not-Executed")</f>
        <v/>
      </c>
    </row>
    <row r="4">
      <c r="A4" s="19" t="n">
        <v>3</v>
      </c>
      <c r="B4" s="20" t="inlineStr">
        <is>
          <t>Verify that a newly added student appears immediately in the class roster, attendance register and fee module.</t>
        </is>
      </c>
      <c r="C4" s="10" t="inlineStr">
        <is>
          <t>Not-Executed</t>
        </is>
      </c>
      <c r="D4" s="21" t="inlineStr"/>
    </row>
    <row r="5">
      <c r="A5" s="19" t="n">
        <v>4</v>
      </c>
      <c r="B5" s="20" t="inlineStr">
        <is>
          <t>Verify that the linked parent receives an in-app notification when their child is registered.</t>
        </is>
      </c>
      <c r="C5" s="10" t="inlineStr">
        <is>
          <t>Not-Executed</t>
        </is>
      </c>
      <c r="D5" s="21" t="inlineStr"/>
    </row>
    <row r="6">
      <c r="A6" s="19" t="n">
        <v>5</v>
      </c>
      <c r="B6" s="20" t="inlineStr">
        <is>
          <t>Verify that a CSV bulk import previews the parsed rows before anything is committed.</t>
        </is>
      </c>
      <c r="C6" s="10" t="inlineStr">
        <is>
          <t>Not-Executed</t>
        </is>
      </c>
      <c r="D6" s="21" t="inlineStr"/>
    </row>
    <row r="7">
      <c r="A7" s="19" t="n">
        <v>6</v>
      </c>
      <c r="B7" s="20" t="inlineStr">
        <is>
          <t>Verify that invalid CSV rows are flagged with a reason while the valid rows still import.</t>
        </is>
      </c>
      <c r="C7" s="10" t="inlineStr">
        <is>
          <t>Not-Executed</t>
        </is>
      </c>
      <c r="D7" s="21" t="inlineStr"/>
    </row>
    <row r="8">
      <c r="A8" s="19" t="n">
        <v>7</v>
      </c>
      <c r="B8" s="20" t="inlineStr">
        <is>
          <t>Verify that one bad row in a CSV never blocks the import of the remaining rows.</t>
        </is>
      </c>
      <c r="C8" s="10" t="inlineStr">
        <is>
          <t>Not-Executed</t>
        </is>
      </c>
      <c r="D8" s="21" t="inlineStr"/>
    </row>
    <row r="9">
      <c r="A9" s="19" t="n">
        <v>8</v>
      </c>
      <c r="B9" s="20" t="inlineStr">
        <is>
          <t>Verify that an online admission application can be accepted and converts into an enrolled student.</t>
        </is>
      </c>
      <c r="C9" s="10" t="inlineStr">
        <is>
          <t>Not-Executed</t>
        </is>
      </c>
      <c r="D9" s="21" t="inlineStr"/>
    </row>
    <row r="10">
      <c r="A10" s="19" t="n">
        <v>9</v>
      </c>
      <c r="B10" s="20" t="inlineStr">
        <is>
          <t>Verify that an admission application can be rejected with a reason recorded.</t>
        </is>
      </c>
      <c r="C10" s="10" t="inlineStr">
        <is>
          <t>Not-Executed</t>
        </is>
      </c>
      <c r="D10" s="21" t="inlineStr"/>
    </row>
    <row r="11">
      <c r="A11" s="19" t="n">
        <v>10</v>
      </c>
      <c r="B11" s="20" t="inlineStr">
        <is>
          <t>Verify that the Returning Student flow restores the prior record instead of creating a duplicate.</t>
        </is>
      </c>
      <c r="C11" s="10" t="inlineStr">
        <is>
          <t>Not-Executed</t>
        </is>
      </c>
      <c r="D11" s="21" t="inlineStr"/>
    </row>
    <row r="12">
      <c r="A12" s="19" t="n">
        <v>11</v>
      </c>
      <c r="B12" s="20" t="inlineStr">
        <is>
          <t>Verify that bulk promotion moves an entire class to the next class in one action.</t>
        </is>
      </c>
      <c r="C12" s="10" t="inlineStr">
        <is>
          <t>Not-Executed</t>
        </is>
      </c>
      <c r="D12" s="21" t="inlineStr"/>
    </row>
    <row r="13">
      <c r="A13" s="19" t="n">
        <v>12</v>
      </c>
      <c r="B13" s="20" t="inlineStr">
        <is>
          <t>Verify that graduating a class sets status to alumni and removes them from active rosters.</t>
        </is>
      </c>
      <c r="C13" s="10" t="inlineStr">
        <is>
          <t>Not-Executed</t>
        </is>
      </c>
      <c r="D13" s="21" t="inlineStr"/>
    </row>
    <row r="14">
      <c r="A14" s="19" t="n">
        <v>13</v>
      </c>
      <c r="B14" s="20" t="inlineStr">
        <is>
          <t>Verify that a graduated student's ledger and academic history remain fully intact.</t>
        </is>
      </c>
      <c r="C14" s="10" t="inlineStr">
        <is>
          <t>Not-Executed</t>
        </is>
      </c>
      <c r="D14" s="21" t="inlineStr"/>
    </row>
    <row r="15">
      <c r="A15" s="19" t="n">
        <v>14</v>
      </c>
      <c r="B15" s="20" t="inlineStr">
        <is>
          <t>Verify that deactivating a student hides them from active rosters but preserves their records.</t>
        </is>
      </c>
      <c r="C15" s="10" t="inlineStr">
        <is>
          <t>Not-Executed</t>
        </is>
      </c>
      <c r="D15" s="21" t="inlineStr"/>
    </row>
    <row r="16">
      <c r="A16" s="19" t="n">
        <v>15</v>
      </c>
      <c r="B16" s="20" t="inlineStr">
        <is>
          <t>Verify that re-admitting a deactivated student restores them cleanly with history preserved.</t>
        </is>
      </c>
      <c r="C16" s="10" t="inlineStr">
        <is>
          <t>Not-Executed</t>
        </is>
      </c>
      <c r="D16" s="21" t="inlineStr"/>
    </row>
    <row r="17">
      <c r="A17" s="19" t="n">
        <v>16</v>
      </c>
      <c r="B17" s="20" t="inlineStr">
        <is>
          <t>Verify that the Suspensions tab lists only students with an un-reinstated suspension.</t>
        </is>
      </c>
      <c r="C17" s="10" t="inlineStr">
        <is>
          <t>Not-Executed</t>
        </is>
      </c>
      <c r="D17" s="21" t="inlineStr"/>
    </row>
    <row r="18">
      <c r="A18" s="19" t="n">
        <v>17</v>
      </c>
      <c r="B18" s="20" t="inlineStr">
        <is>
          <t>Verify that the pending-admissions nav badge count matches the Admissions tab contents.</t>
        </is>
      </c>
      <c r="C18" s="10" t="inlineStr">
        <is>
          <t>Not-Executed</t>
        </is>
      </c>
      <c r="D18" s="21" t="inlineStr"/>
    </row>
    <row r="19">
      <c r="A19" s="19" t="n">
        <v>18</v>
      </c>
      <c r="B19" s="20" t="inlineStr">
        <is>
          <t>Verify that enrolment analytics figures reconcile exactly to the student table.</t>
        </is>
      </c>
      <c r="C19" s="10" t="inlineStr">
        <is>
          <t>Not-Executed</t>
        </is>
      </c>
      <c r="D19" s="21" t="inlineStr"/>
    </row>
    <row r="20">
      <c r="A20" s="19" t="n">
        <v>19</v>
      </c>
      <c r="B20" s="20" t="inlineStr">
        <is>
          <t>Verify that a student created in one branch is not visible in any other branch.</t>
        </is>
      </c>
      <c r="C20" s="10" t="inlineStr">
        <is>
          <t>Not-Executed</t>
        </is>
      </c>
      <c r="D20" s="21" t="inlineStr"/>
    </row>
  </sheetData>
  <mergeCells count="1">
    <mergeCell ref="F1:J1"/>
  </mergeCells>
  <conditionalFormatting sqref="C2:C20">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0" showDropDown="0" showInputMessage="0" showErrorMessage="0" allowBlank="1" type="list">
      <formula1>"Not-Executed,Passed,Failed,Blocker,N/A"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a teacher can open their class and every student defaults to Present.</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today's date is auto-filled on the attendance screen.</t>
        </is>
      </c>
      <c r="C3" s="10" t="inlineStr">
        <is>
          <t>Not-Executed</t>
        </is>
      </c>
      <c r="D3" s="21" t="inlineStr"/>
      <c r="F3" s="10">
        <f>COUNTA(B2:B17)</f>
        <v/>
      </c>
      <c r="G3" s="10">
        <f>COUNTIF(C2:C17,"Passed")</f>
        <v/>
      </c>
      <c r="H3" s="10">
        <f>COUNTIF(C2:C17,"Failed")</f>
        <v/>
      </c>
      <c r="I3" s="10">
        <f>COUNTIF(C2:C17,"Blocker")</f>
        <v/>
      </c>
      <c r="J3" s="10">
        <f>COUNTIF(C2:C17,"Not-Executed")</f>
        <v/>
      </c>
    </row>
    <row r="4">
      <c r="A4" s="19" t="n">
        <v>3</v>
      </c>
      <c r="B4" s="20" t="inlineStr">
        <is>
          <t>Verify that a student can be toggled between Present, Absent and Late.</t>
        </is>
      </c>
      <c r="C4" s="10" t="inlineStr">
        <is>
          <t>Not-Executed</t>
        </is>
      </c>
      <c r="D4" s="21" t="inlineStr"/>
    </row>
    <row r="5">
      <c r="A5" s="19" t="n">
        <v>4</v>
      </c>
      <c r="B5" s="20" t="inlineStr">
        <is>
          <t>Verify that a Late mark is recorded and reported distinctly from Absent.</t>
        </is>
      </c>
      <c r="C5" s="10" t="inlineStr">
        <is>
          <t>Not-Executed</t>
        </is>
      </c>
      <c r="D5" s="21" t="inlineStr"/>
    </row>
    <row r="6">
      <c r="A6" s="19" t="n">
        <v>5</v>
      </c>
      <c r="B6" s="20" t="inlineStr">
        <is>
          <t>Verify that submitting attendance saves it against schoolId, classId, date and teacher.</t>
        </is>
      </c>
      <c r="C6" s="10" t="inlineStr">
        <is>
          <t>Not-Executed</t>
        </is>
      </c>
      <c r="D6" s="21" t="inlineStr"/>
    </row>
    <row r="7">
      <c r="A7" s="19" t="n">
        <v>6</v>
      </c>
      <c r="B7" s="20" t="inlineStr">
        <is>
          <t>Verify that the same class and date cannot be submitted twice without an admin override.</t>
        </is>
      </c>
      <c r="C7" s="10" t="inlineStr">
        <is>
          <t>Not-Executed</t>
        </is>
      </c>
      <c r="D7" s="21" t="inlineStr"/>
    </row>
    <row r="8">
      <c r="A8" s="19" t="n">
        <v>7</v>
      </c>
      <c r="B8" s="20" t="inlineStr">
        <is>
          <t>Verify that parents of absent students receive an alert the same day.</t>
        </is>
      </c>
      <c r="C8" s="10" t="inlineStr">
        <is>
          <t>Not-Executed</t>
        </is>
      </c>
      <c r="D8" s="21" t="inlineStr"/>
    </row>
    <row r="9">
      <c r="A9" s="19" t="n">
        <v>8</v>
      </c>
      <c r="B9" s="20" t="inlineStr">
        <is>
          <t>Verify that the attendance percentage per class and per day is calculated correctly.</t>
        </is>
      </c>
      <c r="C9" s="10" t="inlineStr">
        <is>
          <t>Not-Executed</t>
        </is>
      </c>
      <c r="D9" s="21" t="inlineStr"/>
    </row>
    <row r="10">
      <c r="A10" s="19" t="n">
        <v>9</v>
      </c>
      <c r="B10" s="20" t="inlineStr">
        <is>
          <t>Verify that a parent can see only their own child's attendance record.</t>
        </is>
      </c>
      <c r="C10" s="10" t="inlineStr">
        <is>
          <t>Not-Executed</t>
        </is>
      </c>
      <c r="D10" s="21" t="inlineStr"/>
    </row>
    <row r="11">
      <c r="A11" s="19" t="n">
        <v>10</v>
      </c>
      <c r="B11" s="20" t="inlineStr">
        <is>
          <t>Verify that attendance marked while offline is stored locally and syncs on reconnect.</t>
        </is>
      </c>
      <c r="C11" s="10" t="inlineStr">
        <is>
          <t>Not-Executed</t>
        </is>
      </c>
      <c r="D11" s="21" t="inlineStr"/>
    </row>
    <row r="12">
      <c r="A12" s="19" t="n">
        <v>11</v>
      </c>
      <c r="B12" s="20" t="inlineStr">
        <is>
          <t>Verify that an offline submission which later syncs does not create a duplicate record.</t>
        </is>
      </c>
      <c r="C12" s="10" t="inlineStr">
        <is>
          <t>Not-Executed</t>
        </is>
      </c>
      <c r="D12" s="21" t="inlineStr"/>
    </row>
    <row r="13">
      <c r="A13" s="19" t="n">
        <v>12</v>
      </c>
      <c r="B13" s="20" t="inlineStr">
        <is>
          <t>Verify that a teacher can take attendance only for classes assigned to them.</t>
        </is>
      </c>
      <c r="C13" s="10" t="inlineStr">
        <is>
          <t>Not-Executed</t>
        </is>
      </c>
      <c r="D13" s="21" t="inlineStr"/>
    </row>
    <row r="14">
      <c r="A14" s="19" t="n">
        <v>13</v>
      </c>
      <c r="B14" s="20" t="inlineStr">
        <is>
          <t>Verify that an admin can view school-wide and per-class attendance rates.</t>
        </is>
      </c>
      <c r="C14" s="10" t="inlineStr">
        <is>
          <t>Not-Executed</t>
        </is>
      </c>
      <c r="D14" s="21" t="inlineStr"/>
    </row>
    <row r="15">
      <c r="A15" s="19" t="n">
        <v>14</v>
      </c>
      <c r="B15" s="20" t="inlineStr">
        <is>
          <t>Verify that a class with no students shows an empty state rather than an error.</t>
        </is>
      </c>
      <c r="C15" s="10" t="inlineStr">
        <is>
          <t>Not-Executed</t>
        </is>
      </c>
      <c r="D15" s="21" t="inlineStr"/>
    </row>
    <row r="16">
      <c r="A16" s="19" t="n">
        <v>15</v>
      </c>
      <c r="B16" s="20" t="inlineStr">
        <is>
          <t>Verify that approved staff leave is reflected correctly in the register.</t>
        </is>
      </c>
      <c r="C16" s="10" t="inlineStr">
        <is>
          <t>Not-Executed</t>
        </is>
      </c>
      <c r="D16" s="21" t="inlineStr"/>
    </row>
    <row r="17">
      <c r="A17" s="19" t="n">
        <v>16</v>
      </c>
      <c r="B17" s="20" t="inlineStr">
        <is>
          <t>Verify that a student absent three consecutive days raises the at-risk insight.</t>
        </is>
      </c>
      <c r="C17" s="10" t="inlineStr">
        <is>
          <t>Not-Executed</t>
        </is>
      </c>
      <c r="D17" s="21" t="inlineStr"/>
    </row>
  </sheetData>
  <mergeCells count="1">
    <mergeCell ref="F1:J1"/>
  </mergeCells>
  <conditionalFormatting sqref="C2:C17">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7" showDropDown="0" showInputMessage="0" showErrorMessage="0" allowBlank="1" type="list">
      <formula1>"Not-Executed,Passed,Failed,Blocker,N/A"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a teacher can enter CA and exam scores for every student in a subject.</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total is auto-computed as CA + Exam.</t>
        </is>
      </c>
      <c r="C3" s="10" t="inlineStr">
        <is>
          <t>Not-Executed</t>
        </is>
      </c>
      <c r="D3" s="21" t="inlineStr"/>
      <c r="F3" s="10">
        <f>COUNTA(B2:B18)</f>
        <v/>
      </c>
      <c r="G3" s="10">
        <f>COUNTIF(C2:C18,"Passed")</f>
        <v/>
      </c>
      <c r="H3" s="10">
        <f>COUNTIF(C2:C18,"Failed")</f>
        <v/>
      </c>
      <c r="I3" s="10">
        <f>COUNTIF(C2:C18,"Blocker")</f>
        <v/>
      </c>
      <c r="J3" s="10">
        <f>COUNTIF(C2:C18,"Not-Executed")</f>
        <v/>
      </c>
    </row>
    <row r="4">
      <c r="A4" s="19" t="n">
        <v>3</v>
      </c>
      <c r="B4" s="20" t="inlineStr">
        <is>
          <t>Verify that the grade assigned matches the configured grade boundaries.</t>
        </is>
      </c>
      <c r="C4" s="10" t="inlineStr">
        <is>
          <t>Not-Executed</t>
        </is>
      </c>
      <c r="D4" s="21" t="inlineStr"/>
    </row>
    <row r="5">
      <c r="A5" s="19" t="n">
        <v>4</v>
      </c>
      <c r="B5" s="20" t="inlineStr">
        <is>
          <t>Verify that a score above the configured maximum is rejected.</t>
        </is>
      </c>
      <c r="C5" s="10" t="inlineStr">
        <is>
          <t>Not-Executed</t>
        </is>
      </c>
      <c r="D5" s="21" t="inlineStr"/>
    </row>
    <row r="6">
      <c r="A6" s="19" t="n">
        <v>5</v>
      </c>
      <c r="B6" s="20" t="inlineStr">
        <is>
          <t>Verify that a negative or non-numeric score is rejected.</t>
        </is>
      </c>
      <c r="C6" s="10" t="inlineStr">
        <is>
          <t>Not-Executed</t>
        </is>
      </c>
      <c r="D6" s="21" t="inlineStr"/>
    </row>
    <row r="7">
      <c r="A7" s="19" t="n">
        <v>6</v>
      </c>
      <c r="B7" s="20" t="inlineStr">
        <is>
          <t>Verify that submitting results marks them pending approval and not yet visible downstream.</t>
        </is>
      </c>
      <c r="C7" s="10" t="inlineStr">
        <is>
          <t>Not-Executed</t>
        </is>
      </c>
      <c r="D7" s="21" t="inlineStr"/>
    </row>
    <row r="8">
      <c r="A8" s="19" t="n">
        <v>7</v>
      </c>
      <c r="B8" s="20" t="inlineStr">
        <is>
          <t>Verify that pending results are not visible to parents or students in any view.</t>
        </is>
      </c>
      <c r="C8" s="10" t="inlineStr">
        <is>
          <t>Not-Executed</t>
        </is>
      </c>
      <c r="D8" s="21" t="inlineStr"/>
    </row>
    <row r="9">
      <c r="A9" s="19" t="n">
        <v>8</v>
      </c>
      <c r="B9" s="20" t="inlineStr">
        <is>
          <t>Verify that a parent or student sees a pending banner while results await approval.</t>
        </is>
      </c>
      <c r="C9" s="10" t="inlineStr">
        <is>
          <t>Not-Executed</t>
        </is>
      </c>
      <c r="D9" s="21" t="inlineStr"/>
    </row>
    <row r="10">
      <c r="A10" s="19" t="n">
        <v>9</v>
      </c>
      <c r="B10" s="20" t="inlineStr">
        <is>
          <t>Verify that Approve is disabled while any student is missing the required comment.</t>
        </is>
      </c>
      <c r="C10" s="10" t="inlineStr">
        <is>
          <t>Not-Executed</t>
        </is>
      </c>
      <c r="D10" s="21" t="inlineStr"/>
    </row>
    <row r="11">
      <c r="A11" s="19" t="n">
        <v>10</v>
      </c>
      <c r="B11" s="20" t="inlineStr">
        <is>
          <t>Verify that approving results notifies parents and students exactly once.</t>
        </is>
      </c>
      <c r="C11" s="10" t="inlineStr">
        <is>
          <t>Not-Executed</t>
        </is>
      </c>
      <c r="D11" s="21" t="inlineStr"/>
    </row>
    <row r="12">
      <c r="A12" s="19" t="n">
        <v>11</v>
      </c>
      <c r="B12" s="20" t="inlineStr">
        <is>
          <t>Verify that the broadsheet is ranked by average score.</t>
        </is>
      </c>
      <c r="C12" s="10" t="inlineStr">
        <is>
          <t>Not-Executed</t>
        </is>
      </c>
      <c r="D12" s="21" t="inlineStr"/>
    </row>
    <row r="13">
      <c r="A13" s="19" t="n">
        <v>12</v>
      </c>
      <c r="B13" s="20" t="inlineStr">
        <is>
          <t>Verify that tied averages share a rank and the next rank skips accordingly.</t>
        </is>
      </c>
      <c r="C13" s="10" t="inlineStr">
        <is>
          <t>Not-Executed</t>
        </is>
      </c>
      <c r="D13" s="21" t="inlineStr"/>
    </row>
    <row r="14">
      <c r="A14" s="19" t="n">
        <v>13</v>
      </c>
      <c r="B14" s="20" t="inlineStr">
        <is>
          <t>Verify that an approved report card can be printed with the school's branding.</t>
        </is>
      </c>
      <c r="C14" s="10" t="inlineStr">
        <is>
          <t>Not-Executed</t>
        </is>
      </c>
      <c r="D14" s="21" t="inlineStr"/>
    </row>
    <row r="15">
      <c r="A15" s="19" t="n">
        <v>14</v>
      </c>
      <c r="B15" s="20" t="inlineStr">
        <is>
          <t>Verify that printed report card figures match the broadsheet exactly.</t>
        </is>
      </c>
      <c r="C15" s="10" t="inlineStr">
        <is>
          <t>Not-Executed</t>
        </is>
      </c>
      <c r="D15" s="21" t="inlineStr"/>
    </row>
    <row r="16">
      <c r="A16" s="19" t="n">
        <v>15</v>
      </c>
      <c r="B16" s="20" t="inlineStr">
        <is>
          <t>Verify that rejecting results returns them to the teacher with the reason attached.</t>
        </is>
      </c>
      <c r="C16" s="10" t="inlineStr">
        <is>
          <t>Not-Executed</t>
        </is>
      </c>
      <c r="D16" s="21" t="inlineStr"/>
    </row>
    <row r="17">
      <c r="A17" s="19" t="n">
        <v>16</v>
      </c>
      <c r="B17" s="20" t="inlineStr">
        <is>
          <t>Verify that a teacher cannot approve results they entered themselves.</t>
        </is>
      </c>
      <c r="C17" s="10" t="inlineStr">
        <is>
          <t>Not-Executed</t>
        </is>
      </c>
      <c r="D17" s="21" t="inlineStr"/>
    </row>
    <row r="18">
      <c r="A18" s="19" t="n">
        <v>17</v>
      </c>
      <c r="B18" s="20" t="inlineStr">
        <is>
          <t>Verify that changing grade boundaries does not silently rewrite already-approved results.</t>
        </is>
      </c>
      <c r="C18" s="10" t="inlineStr">
        <is>
          <t>Not-Executed</t>
        </is>
      </c>
      <c r="D18" s="21" t="inlineStr"/>
    </row>
  </sheetData>
  <mergeCells count="1">
    <mergeCell ref="F1:J1"/>
  </mergeCells>
  <conditionalFormatting sqref="C2:C18">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8" showDropDown="0" showInputMessage="0" showErrorMessage="0" allowBlank="1" type="list">
      <formula1>"Not-Executed,Passed,Failed,Blocker,N/A"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a fee structure can be set per class and per term.</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bulk invoice generation creates exactly one invoice per active student.</t>
        </is>
      </c>
      <c r="C3" s="10" t="inlineStr">
        <is>
          <t>Not-Executed</t>
        </is>
      </c>
      <c r="D3" s="21" t="inlineStr"/>
      <c r="F3" s="10">
        <f>COUNTA(B2:B23)</f>
        <v/>
      </c>
      <c r="G3" s="10">
        <f>COUNTIF(C2:C23,"Passed")</f>
        <v/>
      </c>
      <c r="H3" s="10">
        <f>COUNTIF(C2:C23,"Failed")</f>
        <v/>
      </c>
      <c r="I3" s="10">
        <f>COUNTIF(C2:C23,"Blocker")</f>
        <v/>
      </c>
      <c r="J3" s="10">
        <f>COUNTIF(C2:C23,"Not-Executed")</f>
        <v/>
      </c>
    </row>
    <row r="4">
      <c r="A4" s="19" t="n">
        <v>3</v>
      </c>
      <c r="B4" s="20" t="inlineStr">
        <is>
          <t>Verify that the generated invoice count matches the number of active students.</t>
        </is>
      </c>
      <c r="C4" s="10" t="inlineStr">
        <is>
          <t>Not-Executed</t>
        </is>
      </c>
      <c r="D4" s="21" t="inlineStr"/>
    </row>
    <row r="5">
      <c r="A5" s="19" t="n">
        <v>4</v>
      </c>
      <c r="B5" s="20" t="inlineStr">
        <is>
          <t>Verify that parents are notified once invoices are generated.</t>
        </is>
      </c>
      <c r="C5" s="10" t="inlineStr">
        <is>
          <t>Not-Executed</t>
        </is>
      </c>
      <c r="D5" s="21" t="inlineStr"/>
    </row>
    <row r="6">
      <c r="A6" s="19" t="n">
        <v>5</v>
      </c>
      <c r="B6" s="20" t="inlineStr">
        <is>
          <t>Verify that the student ledger shows each charge, discount and payment as its own dated row.</t>
        </is>
      </c>
      <c r="C6" s="10" t="inlineStr">
        <is>
          <t>Not-Executed</t>
        </is>
      </c>
      <c r="D6" s="21" t="inlineStr"/>
    </row>
    <row r="7">
      <c r="A7" s="19" t="n">
        <v>6</v>
      </c>
      <c r="B7" s="20" t="inlineStr">
        <is>
          <t>Verify that no charges, discounts or payments are lumped into a single combined line.</t>
        </is>
      </c>
      <c r="C7" s="10" t="inlineStr">
        <is>
          <t>Not-Executed</t>
        </is>
      </c>
      <c r="D7" s="21" t="inlineStr"/>
    </row>
    <row r="8">
      <c r="A8" s="19" t="n">
        <v>7</v>
      </c>
      <c r="B8" s="20" t="inlineStr">
        <is>
          <t>Verify that the opening balance is carried forward as its own labelled row.</t>
        </is>
      </c>
      <c r="C8" s="10" t="inlineStr">
        <is>
          <t>Not-Executed</t>
        </is>
      </c>
      <c r="D8" s="21" t="inlineStr"/>
    </row>
    <row r="9">
      <c r="A9" s="19" t="n">
        <v>8</v>
      </c>
      <c r="B9" s="20" t="inlineStr">
        <is>
          <t>Verify that the running balance is correct after every transaction on the ledger.</t>
        </is>
      </c>
      <c r="C9" s="10" t="inlineStr">
        <is>
          <t>Not-Executed</t>
        </is>
      </c>
      <c r="D9" s="21" t="inlineStr"/>
    </row>
    <row r="10">
      <c r="A10" s="19" t="n">
        <v>9</v>
      </c>
      <c r="B10" s="20" t="inlineStr">
        <is>
          <t>Verify that the invariant debit total minus credit total equals the balance holds for every student.</t>
        </is>
      </c>
      <c r="C10" s="10" t="inlineStr">
        <is>
          <t>Not-Executed</t>
        </is>
      </c>
      <c r="D10" s="21" t="inlineStr"/>
    </row>
    <row r="11">
      <c r="A11" s="19" t="n">
        <v>10</v>
      </c>
      <c r="B11" s="20" t="inlineStr">
        <is>
          <t>Verify that an overpayment is shown as a credit balance labelled Cr.</t>
        </is>
      </c>
      <c r="C11" s="10" t="inlineStr">
        <is>
          <t>Not-Executed</t>
        </is>
      </c>
      <c r="D11" s="21" t="inlineStr"/>
    </row>
    <row r="12">
      <c r="A12" s="19" t="n">
        <v>11</v>
      </c>
      <c r="B12" s="20" t="inlineStr">
        <is>
          <t>Verify that credit is auto-applied to the next invoice and the parent is notified.</t>
        </is>
      </c>
      <c r="C12" s="10" t="inlineStr">
        <is>
          <t>Not-Executed</t>
        </is>
      </c>
      <c r="D12" s="21" t="inlineStr"/>
    </row>
    <row r="13">
      <c r="A13" s="19" t="n">
        <v>12</v>
      </c>
      <c r="B13" s="20" t="inlineStr">
        <is>
          <t>Verify that sibling, bus and special discounts each appear as separate credit lines.</t>
        </is>
      </c>
      <c r="C13" s="10" t="inlineStr">
        <is>
          <t>Not-Executed</t>
        </is>
      </c>
      <c r="D13" s="21" t="inlineStr"/>
    </row>
    <row r="14">
      <c r="A14" s="19" t="n">
        <v>13</v>
      </c>
      <c r="B14" s="20" t="inlineStr">
        <is>
          <t>Verify that adding a line item to a bill recomputes total, balance and status.</t>
        </is>
      </c>
      <c r="C14" s="10" t="inlineStr">
        <is>
          <t>Not-Executed</t>
        </is>
      </c>
      <c r="D14" s="21" t="inlineStr"/>
    </row>
    <row r="15">
      <c r="A15" s="19" t="n">
        <v>14</v>
      </c>
      <c r="B15" s="20" t="inlineStr">
        <is>
          <t>Verify that removing a line item recomputes total, balance and status.</t>
        </is>
      </c>
      <c r="C15" s="10" t="inlineStr">
        <is>
          <t>Not-Executed</t>
        </is>
      </c>
      <c r="D15" s="21" t="inlineStr"/>
    </row>
    <row r="16">
      <c r="A16" s="19" t="n">
        <v>15</v>
      </c>
      <c r="B16" s="20" t="inlineStr">
        <is>
          <t>Verify that a bank transfer is auto-matched to the right student by narration.</t>
        </is>
      </c>
      <c r="C16" s="10" t="inlineStr">
        <is>
          <t>Not-Executed</t>
        </is>
      </c>
      <c r="D16" s="21" t="inlineStr"/>
    </row>
    <row r="17">
      <c r="A17" s="19" t="n">
        <v>16</v>
      </c>
      <c r="B17" s="20" t="inlineStr">
        <is>
          <t>Verify that an incorrectly auto-matched transfer can be manually reassigned.</t>
        </is>
      </c>
      <c r="C17" s="10" t="inlineStr">
        <is>
          <t>Not-Executed</t>
        </is>
      </c>
      <c r="D17" s="21" t="inlineStr"/>
    </row>
    <row r="18">
      <c r="A18" s="19" t="n">
        <v>17</v>
      </c>
      <c r="B18" s="20" t="inlineStr">
        <is>
          <t>Verify that an expense can be recorded against a budget category.</t>
        </is>
      </c>
      <c r="C18" s="10" t="inlineStr">
        <is>
          <t>Not-Executed</t>
        </is>
      </c>
      <c r="D18" s="21" t="inlineStr"/>
    </row>
    <row r="19">
      <c r="A19" s="19" t="n">
        <v>18</v>
      </c>
      <c r="B19" s="20" t="inlineStr">
        <is>
          <t>Verify that the cost-centre overview reconciles to the expense and invoice tables.</t>
        </is>
      </c>
      <c r="C19" s="10" t="inlineStr">
        <is>
          <t>Not-Executed</t>
        </is>
      </c>
      <c r="D19" s="21" t="inlineStr"/>
    </row>
    <row r="20">
      <c r="A20" s="19" t="n">
        <v>19</v>
      </c>
      <c r="B20" s="20" t="inlineStr">
        <is>
          <t>Verify that a parent can view and print an itemised statement carrying school branding.</t>
        </is>
      </c>
      <c r="C20" s="10" t="inlineStr">
        <is>
          <t>Not-Executed</t>
        </is>
      </c>
      <c r="D20" s="21" t="inlineStr"/>
    </row>
    <row r="21">
      <c r="A21" s="19" t="n">
        <v>20</v>
      </c>
      <c r="B21" s="20" t="inlineStr">
        <is>
          <t>Verify that school store purchases appear on the ledger as their own itemised charge.</t>
        </is>
      </c>
      <c r="C21" s="10" t="inlineStr">
        <is>
          <t>Not-Executed</t>
        </is>
      </c>
      <c r="D21" s="21" t="inlineStr"/>
    </row>
    <row r="22">
      <c r="A22" s="19" t="n">
        <v>21</v>
      </c>
      <c r="B22" s="20" t="inlineStr">
        <is>
          <t>Verify that a reversed store purchase raises a credit line rather than deleting the charge.</t>
        </is>
      </c>
      <c r="C22" s="10" t="inlineStr">
        <is>
          <t>Not-Executed</t>
        </is>
      </c>
      <c r="D22" s="21" t="inlineStr"/>
    </row>
    <row r="23">
      <c r="A23" s="19" t="n">
        <v>22</v>
      </c>
      <c r="B23" s="20" t="inlineStr">
        <is>
          <t>Verify that every money action writes an immutable audit log entry.</t>
        </is>
      </c>
      <c r="C23" s="10" t="inlineStr">
        <is>
          <t>Not-Executed</t>
        </is>
      </c>
      <c r="D23" s="21" t="inlineStr"/>
    </row>
  </sheetData>
  <mergeCells count="1">
    <mergeCell ref="F1:J1"/>
  </mergeCells>
  <conditionalFormatting sqref="C2:C23">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3" showDropDown="0" showInputMessage="0" showErrorMessage="0" allowBlank="1" type="list">
      <formula1>"Not-Executed,Passed,Failed,Blocker,N/A"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a parent can pay an invoice by card.</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parent can pay an invoice by bank transfer.</t>
        </is>
      </c>
      <c r="C3" s="10" t="inlineStr">
        <is>
          <t>Not-Executed</t>
        </is>
      </c>
      <c r="D3" s="21" t="inlineStr"/>
      <c r="F3" s="10">
        <f>COUNTA(B2:B16)</f>
        <v/>
      </c>
      <c r="G3" s="10">
        <f>COUNTIF(C2:C16,"Passed")</f>
        <v/>
      </c>
      <c r="H3" s="10">
        <f>COUNTIF(C2:C16,"Failed")</f>
        <v/>
      </c>
      <c r="I3" s="10">
        <f>COUNTIF(C2:C16,"Blocker")</f>
        <v/>
      </c>
      <c r="J3" s="10">
        <f>COUNTIF(C2:C16,"Not-Executed")</f>
        <v/>
      </c>
    </row>
    <row r="4">
      <c r="A4" s="19" t="n">
        <v>3</v>
      </c>
      <c r="B4" s="20" t="inlineStr">
        <is>
          <t>Verify that a parent can pay an invoice by USSD.</t>
        </is>
      </c>
      <c r="C4" s="10" t="inlineStr">
        <is>
          <t>Not-Executed</t>
        </is>
      </c>
      <c r="D4" s="21" t="inlineStr"/>
    </row>
    <row r="5">
      <c r="A5" s="19" t="n">
        <v>4</v>
      </c>
      <c r="B5" s="20" t="inlineStr">
        <is>
          <t>Verify that a successful payment marks the invoice Paid and clears the balance.</t>
        </is>
      </c>
      <c r="C5" s="10" t="inlineStr">
        <is>
          <t>Not-Executed</t>
        </is>
      </c>
      <c r="D5" s="21" t="inlineStr"/>
    </row>
    <row r="6">
      <c r="A6" s="19" t="n">
        <v>5</v>
      </c>
      <c r="B6" s="20" t="inlineStr">
        <is>
          <t>Verify that a partial payment leaves the correct remaining balance and a part-paid status.</t>
        </is>
      </c>
      <c r="C6" s="10" t="inlineStr">
        <is>
          <t>Not-Executed</t>
        </is>
      </c>
      <c r="D6" s="21" t="inlineStr"/>
    </row>
    <row r="7">
      <c r="A7" s="19" t="n">
        <v>6</v>
      </c>
      <c r="B7" s="20" t="inlineStr">
        <is>
          <t>Verify that a receipt is available in the parent portal immediately after payment.</t>
        </is>
      </c>
      <c r="C7" s="10" t="inlineStr">
        <is>
          <t>Not-Executed</t>
        </is>
      </c>
      <c r="D7" s="21" t="inlineStr"/>
    </row>
    <row r="8">
      <c r="A8" s="19" t="n">
        <v>7</v>
      </c>
      <c r="B8" s="20" t="inlineStr">
        <is>
          <t>Verify that a receipt can be viewed, printed or downloaded at any time afterwards.</t>
        </is>
      </c>
      <c r="C8" s="10" t="inlineStr">
        <is>
          <t>Not-Executed</t>
        </is>
      </c>
      <c r="D8" s="21" t="inlineStr"/>
    </row>
    <row r="9">
      <c r="A9" s="19" t="n">
        <v>8</v>
      </c>
      <c r="B9" s="20" t="inlineStr">
        <is>
          <t>Verify that a failed payment is logged with its reason and is visible to finance.</t>
        </is>
      </c>
      <c r="C9" s="10" t="inlineStr">
        <is>
          <t>Not-Executed</t>
        </is>
      </c>
      <c r="D9" s="21" t="inlineStr"/>
    </row>
    <row r="10">
      <c r="A10" s="19" t="n">
        <v>9</v>
      </c>
      <c r="B10" s="20" t="inlineStr">
        <is>
          <t>Verify that a double-submitted payment never charges or credits twice.</t>
        </is>
      </c>
      <c r="C10" s="10" t="inlineStr">
        <is>
          <t>Not-Executed</t>
        </is>
      </c>
      <c r="D10" s="21" t="inlineStr"/>
    </row>
    <row r="11">
      <c r="A11" s="19" t="n">
        <v>10</v>
      </c>
      <c r="B11" s="20" t="inlineStr">
        <is>
          <t>Verify that a payment attempted offline queues and does not duplicate on reconnect.</t>
        </is>
      </c>
      <c r="C11" s="10" t="inlineStr">
        <is>
          <t>Not-Executed</t>
        </is>
      </c>
      <c r="D11" s="21" t="inlineStr"/>
    </row>
    <row r="12">
      <c r="A12" s="19" t="n">
        <v>11</v>
      </c>
      <c r="B12" s="20" t="inlineStr">
        <is>
          <t>Verify that multi-child Pay All processes each invoice in sequence with a method per child.</t>
        </is>
      </c>
      <c r="C12" s="10" t="inlineStr">
        <is>
          <t>Not-Executed</t>
        </is>
      </c>
      <c r="D12" s="21" t="inlineStr"/>
    </row>
    <row r="13">
      <c r="A13" s="19" t="n">
        <v>12</v>
      </c>
      <c r="B13" s="20" t="inlineStr">
        <is>
          <t>Verify that every payment is persisted with a unique gateway reference.</t>
        </is>
      </c>
      <c r="C13" s="10" t="inlineStr">
        <is>
          <t>Not-Executed</t>
        </is>
      </c>
      <c r="D13" s="21" t="inlineStr"/>
    </row>
    <row r="14">
      <c r="A14" s="19" t="n">
        <v>13</v>
      </c>
      <c r="B14" s="20" t="inlineStr">
        <is>
          <t>Verify that a parent cannot pay another family's invoice by altering the invoice ID.</t>
        </is>
      </c>
      <c r="C14" s="10" t="inlineStr">
        <is>
          <t>Not-Executed</t>
        </is>
      </c>
      <c r="D14" s="21" t="inlineStr"/>
    </row>
    <row r="15">
      <c r="A15" s="19" t="n">
        <v>14</v>
      </c>
      <c r="B15" s="20" t="inlineStr">
        <is>
          <t>Verify that the finance payments list reflects a new transaction immediately.</t>
        </is>
      </c>
      <c r="C15" s="10" t="inlineStr">
        <is>
          <t>Not-Executed</t>
        </is>
      </c>
      <c r="D15" s="21" t="inlineStr"/>
    </row>
    <row r="16">
      <c r="A16" s="19" t="n">
        <v>15</v>
      </c>
      <c r="B16" s="20" t="inlineStr">
        <is>
          <t>Verify that a payment gateway timeout leaves the invoice unpaid rather than in a partial state.</t>
        </is>
      </c>
      <c r="C16" s="10" t="inlineStr">
        <is>
          <t>Not-Executed</t>
        </is>
      </c>
      <c r="D16" s="21" t="inlineStr"/>
    </row>
  </sheetData>
  <mergeCells count="1">
    <mergeCell ref="F1:J1"/>
  </mergeCells>
  <conditionalFormatting sqref="C2:C16">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6" showDropDown="0" showInputMessage="0" showErrorMessage="0" allowBlank="1" type="list">
      <formula1>"Not-Executed,Passed,Failed,Blocker,N/A"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the owner can see their current plan, its price and the renewal date.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plan table shows what the current tier includes and what the tier above adds.</t>
        </is>
      </c>
      <c r="C3" s="10" t="inlineStr">
        <is>
          <t>Not-Executed</t>
        </is>
      </c>
      <c r="D3" s="21" t="inlineStr"/>
      <c r="F3" s="10">
        <f>COUNTA(B2:B22)</f>
        <v/>
      </c>
      <c r="G3" s="10">
        <f>COUNTIF(C2:C22,"Passed")</f>
        <v/>
      </c>
      <c r="H3" s="10">
        <f>COUNTIF(C2:C22,"Failed")</f>
        <v/>
      </c>
      <c r="I3" s="10">
        <f>COUNTIF(C2:C22,"Blocker")</f>
        <v/>
      </c>
      <c r="J3" s="10">
        <f>COUNTIF(C2:C22,"Not-Executed")</f>
        <v/>
      </c>
    </row>
    <row r="4">
      <c r="A4" s="19" t="n">
        <v>3</v>
      </c>
      <c r="B4" s="20" t="inlineStr">
        <is>
          <t>Verify that an upgrade quotes a pro-rata amount for the days remaining in the period.</t>
        </is>
      </c>
      <c r="C4" s="10" t="inlineStr">
        <is>
          <t>Not-Executed</t>
        </is>
      </c>
      <c r="D4" s="21" t="inlineStr"/>
    </row>
    <row r="5">
      <c r="A5" s="19" t="n">
        <v>4</v>
      </c>
      <c r="B5" s="20" t="inlineStr">
        <is>
          <t>Verify that the pro-rata amount is proportional to days remaining, not the full month.</t>
        </is>
      </c>
      <c r="C5" s="10" t="inlineStr">
        <is>
          <t>Not-Executed</t>
        </is>
      </c>
      <c r="D5" s="21" t="inlineStr"/>
    </row>
    <row r="6">
      <c r="A6" s="19" t="n">
        <v>5</v>
      </c>
      <c r="B6" s="20" t="inlineStr">
        <is>
          <t>Verify that paying the upgrade invoice widens entitlements immediately with no re-login.</t>
        </is>
      </c>
      <c r="C6" s="10" t="inlineStr">
        <is>
          <t>Not-Executed</t>
        </is>
      </c>
      <c r="D6" s="21" t="inlineStr"/>
    </row>
    <row r="7">
      <c r="A7" s="19" t="n">
        <v>6</v>
      </c>
      <c r="B7" s="20" t="inlineStr">
        <is>
          <t>Verify that a zero-cost upgrade completes without a payment gateway trip.</t>
        </is>
      </c>
      <c r="C7" s="10" t="inlineStr">
        <is>
          <t>Not-Executed</t>
        </is>
      </c>
      <c r="D7" s="21" t="inlineStr"/>
    </row>
    <row r="8">
      <c r="A8" s="19" t="n">
        <v>7</v>
      </c>
      <c r="B8" s="20" t="inlineStr">
        <is>
          <t>Verify that a downgrade is scheduled for the renewal date and is not applied on the spot.</t>
        </is>
      </c>
      <c r="C8" s="10" t="inlineStr">
        <is>
          <t>Not-Executed</t>
        </is>
      </c>
      <c r="D8" s="21" t="inlineStr"/>
    </row>
    <row r="9">
      <c r="A9" s="19" t="n">
        <v>8</v>
      </c>
      <c r="B9" s="20" t="inlineStr">
        <is>
          <t>Verify that all current-tier features remain usable until the downgrade takes effect.</t>
        </is>
      </c>
      <c r="C9" s="10" t="inlineStr">
        <is>
          <t>Not-Executed</t>
        </is>
      </c>
      <c r="D9" s="21" t="inlineStr"/>
    </row>
    <row r="10">
      <c r="A10" s="19" t="n">
        <v>9</v>
      </c>
      <c r="B10" s="20" t="inlineStr">
        <is>
          <t>Verify that a downgrade never produces a refund or a credit balance.</t>
        </is>
      </c>
      <c r="C10" s="10" t="inlineStr">
        <is>
          <t>Not-Executed</t>
        </is>
      </c>
      <c r="D10" s="21" t="inlineStr"/>
    </row>
    <row r="11">
      <c r="A11" s="19" t="n">
        <v>10</v>
      </c>
      <c r="B11" s="20" t="inlineStr">
        <is>
          <t>Verify that the pending plan change and its effective date stay visible until it applies.</t>
        </is>
      </c>
      <c r="C11" s="10" t="inlineStr">
        <is>
          <t>Not-Executed</t>
        </is>
      </c>
      <c r="D11" s="21" t="inlineStr"/>
    </row>
    <row r="12">
      <c r="A12" s="19" t="n">
        <v>11</v>
      </c>
      <c r="B12" s="20" t="inlineStr">
        <is>
          <t>Verify that a scheduled change can be cancelled with no charge or credit side effect.</t>
        </is>
      </c>
      <c r="C12" s="10" t="inlineStr">
        <is>
          <t>Not-Executed</t>
        </is>
      </c>
      <c r="D12" s="21" t="inlineStr"/>
    </row>
    <row r="13">
      <c r="A13" s="19" t="n">
        <v>12</v>
      </c>
      <c r="B13" s="20" t="inlineStr">
        <is>
          <t>Verify that the downgrade warning lists only tier-derived features, excluding per-school overrides.</t>
        </is>
      </c>
      <c r="C13" s="10" t="inlineStr">
        <is>
          <t>Not-Executed</t>
        </is>
      </c>
      <c r="D13" s="21" t="inlineStr"/>
    </row>
    <row r="14">
      <c r="A14" s="19" t="n">
        <v>13</v>
      </c>
      <c r="B14" s="20" t="inlineStr">
        <is>
          <t>Verify that auto-renew can be switched off and access continues to the end of the paid period.</t>
        </is>
      </c>
      <c r="C14" s="10" t="inlineStr">
        <is>
          <t>Not-Executed</t>
        </is>
      </c>
      <c r="D14" s="21" t="inlineStr"/>
    </row>
    <row r="15">
      <c r="A15" s="19" t="n">
        <v>14</v>
      </c>
      <c r="B15" s="20" t="inlineStr">
        <is>
          <t>Verify that a renewal due in 30 days or fewer shows an amber chip on the owner's dashboard.</t>
        </is>
      </c>
      <c r="C15" s="10" t="inlineStr">
        <is>
          <t>Not-Executed</t>
        </is>
      </c>
      <c r="D15" s="21" t="inlineStr"/>
    </row>
    <row r="16">
      <c r="A16" s="19" t="n">
        <v>15</v>
      </c>
      <c r="B16" s="20" t="inlineStr">
        <is>
          <t>Verify that a renewal due in 7 days or fewer shows a red chip on the owner's dashboard.</t>
        </is>
      </c>
      <c r="C16" s="10" t="inlineStr">
        <is>
          <t>Not-Executed</t>
        </is>
      </c>
      <c r="D16" s="21" t="inlineStr"/>
    </row>
    <row r="17">
      <c r="A17" s="19" t="n">
        <v>16</v>
      </c>
      <c r="B17" s="20" t="inlineStr">
        <is>
          <t>Verify that the renewal chip deep-links to the Billing and Plan tab.</t>
        </is>
      </c>
      <c r="C17" s="10" t="inlineStr">
        <is>
          <t>Not-Executed</t>
        </is>
      </c>
      <c r="D17" s="21" t="inlineStr"/>
    </row>
    <row r="18">
      <c r="A18" s="19" t="n">
        <v>17</v>
      </c>
      <c r="B18" s="20" t="inlineStr">
        <is>
          <t>Verify that subscription invoices never appear in a parent's fee ledger.</t>
        </is>
      </c>
      <c r="C18" s="10" t="inlineStr">
        <is>
          <t>Not-Executed</t>
        </is>
      </c>
      <c r="D18" s="21" t="inlineStr"/>
    </row>
    <row r="19">
      <c r="A19" s="19" t="n">
        <v>18</v>
      </c>
      <c r="B19" s="20" t="inlineStr">
        <is>
          <t>Verify that no role other than the owner can view or change plan and billing.</t>
        </is>
      </c>
      <c r="C19" s="10" t="inlineStr">
        <is>
          <t>Not-Executed</t>
        </is>
      </c>
      <c r="D19" s="21" t="inlineStr"/>
    </row>
    <row r="20">
      <c r="A20" s="19" t="n">
        <v>19</v>
      </c>
      <c r="B20" s="20" t="inlineStr">
        <is>
          <t>Verify that a plan change made by a CASPAA operator follows the same rule as the self-serve path.</t>
        </is>
      </c>
      <c r="C20" s="10" t="inlineStr">
        <is>
          <t>Not-Executed</t>
        </is>
      </c>
      <c r="D20" s="21" t="inlineStr"/>
    </row>
    <row r="21">
      <c r="A21" s="19" t="n">
        <v>20</v>
      </c>
      <c r="B21" s="20" t="inlineStr">
        <is>
          <t>Verify that a lapsed subscription degrades to a locked screen with a working pay-now route.</t>
        </is>
      </c>
      <c r="C21" s="10" t="inlineStr">
        <is>
          <t>Not-Executed</t>
        </is>
      </c>
      <c r="D21" s="21" t="inlineStr"/>
    </row>
    <row r="22">
      <c r="A22" s="19" t="n">
        <v>21</v>
      </c>
      <c r="B22" s="20" t="inlineStr">
        <is>
          <t>Verify that every plan change, payment and auto-renew toggle writes an audit log entry.</t>
        </is>
      </c>
      <c r="C22" s="10" t="inlineStr">
        <is>
          <t>Not-Executed</t>
        </is>
      </c>
      <c r="D22" s="21" t="inlineStr"/>
    </row>
  </sheetData>
  <mergeCells count="1">
    <mergeCell ref="F1:J1"/>
  </mergeCells>
  <conditionalFormatting sqref="C2:C22">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2" showDropDown="0" showInputMessage="0" showErrorMessage="0" allowBlank="1" type="list">
      <formula1>"Not-Executed,Passed,Failed,Blocker,N/A"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a standalone school can be promoted to group HQ when the multibranch entitlement is on.</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Branches navigation is hidden when the multibranch entitlement is off.</t>
        </is>
      </c>
      <c r="C3" s="10" t="inlineStr">
        <is>
          <t>Not-Executed</t>
        </is>
      </c>
      <c r="D3" s="21" t="inlineStr"/>
      <c r="F3" s="10">
        <f>COUNTA(B2:B17)</f>
        <v/>
      </c>
      <c r="G3" s="10">
        <f>COUNTIF(C2:C17,"Passed")</f>
        <v/>
      </c>
      <c r="H3" s="10">
        <f>COUNTIF(C2:C17,"Failed")</f>
        <v/>
      </c>
      <c r="I3" s="10">
        <f>COUNTIF(C2:C17,"Blocker")</f>
        <v/>
      </c>
      <c r="J3" s="10">
        <f>COUNTIF(C2:C17,"Not-Executed")</f>
        <v/>
      </c>
    </row>
    <row r="4">
      <c r="A4" s="19" t="n">
        <v>3</v>
      </c>
      <c r="B4" s="20" t="inlineStr">
        <is>
          <t>Verify that group overview totals equal the sum of the individual branch figures.</t>
        </is>
      </c>
      <c r="C4" s="10" t="inlineStr">
        <is>
          <t>Not-Executed</t>
        </is>
      </c>
      <c r="D4" s="21" t="inlineStr"/>
    </row>
    <row r="5">
      <c r="A5" s="19" t="n">
        <v>4</v>
      </c>
      <c r="B5" s="20" t="inlineStr">
        <is>
          <t>Verify that a group owner can switch into any branch and operate it normally.</t>
        </is>
      </c>
      <c r="C5" s="10" t="inlineStr">
        <is>
          <t>Not-Executed</t>
        </is>
      </c>
      <c r="D5" s="21" t="inlineStr"/>
    </row>
    <row r="6">
      <c r="A6" s="19" t="n">
        <v>5</v>
      </c>
      <c r="B6" s="20" t="inlineStr">
        <is>
          <t>Verify that no data leaks between branches after a branch switch.</t>
        </is>
      </c>
      <c r="C6" s="10" t="inlineStr">
        <is>
          <t>Not-Executed</t>
        </is>
      </c>
      <c r="D6" s="21" t="inlineStr"/>
    </row>
    <row r="7">
      <c r="A7" s="19" t="n">
        <v>6</v>
      </c>
      <c r="B7" s="20" t="inlineStr">
        <is>
          <t>Verify that a newly added branch starts empty and fully isolated.</t>
        </is>
      </c>
      <c r="C7" s="10" t="inlineStr">
        <is>
          <t>Not-Executed</t>
        </is>
      </c>
      <c r="D7" s="21" t="inlineStr"/>
    </row>
    <row r="8">
      <c r="A8" s="19" t="n">
        <v>7</v>
      </c>
      <c r="B8" s="20" t="inlineStr">
        <is>
          <t>Verify that the group layer stays available while the owner is switched into a branch.</t>
        </is>
      </c>
      <c r="C8" s="10" t="inlineStr">
        <is>
          <t>Not-Executed</t>
        </is>
      </c>
      <c r="D8" s="21" t="inlineStr"/>
    </row>
    <row r="9">
      <c r="A9" s="19" t="n">
        <v>8</v>
      </c>
      <c r="B9" s="20" t="inlineStr">
        <is>
          <t>Verify that features included in the plan tier are visible by default.</t>
        </is>
      </c>
      <c r="C9" s="10" t="inlineStr">
        <is>
          <t>Not-Executed</t>
        </is>
      </c>
      <c r="D9" s="21" t="inlineStr"/>
    </row>
    <row r="10">
      <c r="A10" s="19" t="n">
        <v>9</v>
      </c>
      <c r="B10" s="20" t="inlineStr">
        <is>
          <t>Verify that a per-school override switches a feature on immediately.</t>
        </is>
      </c>
      <c r="C10" s="10" t="inlineStr">
        <is>
          <t>Not-Executed</t>
        </is>
      </c>
      <c r="D10" s="21" t="inlineStr"/>
    </row>
    <row r="11">
      <c r="A11" s="19" t="n">
        <v>10</v>
      </c>
      <c r="B11" s="20" t="inlineStr">
        <is>
          <t>Verify that a per-school removal hides a feature the plan would otherwise include.</t>
        </is>
      </c>
      <c r="C11" s="10" t="inlineStr">
        <is>
          <t>Not-Executed</t>
        </is>
      </c>
      <c r="D11" s="21" t="inlineStr"/>
    </row>
    <row r="12">
      <c r="A12" s="19" t="n">
        <v>11</v>
      </c>
      <c r="B12" s="20" t="inlineStr">
        <is>
          <t>Verify that an unentitled module is hidden from the navigation entirely.</t>
        </is>
      </c>
      <c r="C12" s="10" t="inlineStr">
        <is>
          <t>Not-Executed</t>
        </is>
      </c>
      <c r="D12" s="21" t="inlineStr"/>
    </row>
    <row r="13">
      <c r="A13" s="19" t="n">
        <v>12</v>
      </c>
      <c r="B13" s="20" t="inlineStr">
        <is>
          <t>Verify that deep-linking to an unentitled view shows a locked screen with an upgrade path.</t>
        </is>
      </c>
      <c r="C13" s="10" t="inlineStr">
        <is>
          <t>Not-Executed</t>
        </is>
      </c>
      <c r="D13" s="21" t="inlineStr"/>
    </row>
    <row r="14">
      <c r="A14" s="19" t="n">
        <v>13</v>
      </c>
      <c r="B14" s="20" t="inlineStr">
        <is>
          <t>Verify that requesting a feature from the locked screen raises a ticket in the COP support desk.</t>
        </is>
      </c>
      <c r="C14" s="10" t="inlineStr">
        <is>
          <t>Not-Executed</t>
        </is>
      </c>
      <c r="D14" s="21" t="inlineStr"/>
    </row>
    <row r="15">
      <c r="A15" s="19" t="n">
        <v>14</v>
      </c>
      <c r="B15" s="20" t="inlineStr">
        <is>
          <t>Verify that the requesting school can see that same ticket in their own Help and Support.</t>
        </is>
      </c>
      <c r="C15" s="10" t="inlineStr">
        <is>
          <t>Not-Executed</t>
        </is>
      </c>
      <c r="D15" s="21" t="inlineStr"/>
    </row>
    <row r="16">
      <c r="A16" s="19" t="n">
        <v>15</v>
      </c>
      <c r="B16" s="20" t="inlineStr">
        <is>
          <t>Verify that every lending entry point is unreachable while the lending entitlement is off.</t>
        </is>
      </c>
      <c r="C16" s="10" t="inlineStr">
        <is>
          <t>Not-Executed</t>
        </is>
      </c>
      <c r="D16" s="21" t="inlineStr"/>
    </row>
    <row r="17">
      <c r="A17" s="19" t="n">
        <v>16</v>
      </c>
      <c r="B17" s="20" t="inlineStr">
        <is>
          <t>Verify that a global platform flag switched off overrides any per-school override.</t>
        </is>
      </c>
      <c r="C17" s="10" t="inlineStr">
        <is>
          <t>Not-Executed</t>
        </is>
      </c>
      <c r="D17" s="21" t="inlineStr"/>
    </row>
  </sheetData>
  <mergeCells count="1">
    <mergeCell ref="F1:J1"/>
  </mergeCells>
  <conditionalFormatting sqref="C2:C17">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7" showDropDown="0" showInputMessage="0" showErrorMessage="0" allowBlank="1" type="list">
      <formula1>"Not-Executed,Passed,Failed,Blocker,N/A"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the school can select the default channels used for outbound notifications.</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SMS channel is rendered disabled and cannot be switched on.</t>
        </is>
      </c>
      <c r="C3" s="10" t="inlineStr">
        <is>
          <t>Not-Executed</t>
        </is>
      </c>
      <c r="D3" s="21" t="inlineStr"/>
      <c r="F3" s="10">
        <f>COUNTA(B2:B16)</f>
        <v/>
      </c>
      <c r="G3" s="10">
        <f>COUNTIF(C2:C16,"Passed")</f>
        <v/>
      </c>
      <c r="H3" s="10">
        <f>COUNTIF(C2:C16,"Failed")</f>
        <v/>
      </c>
      <c r="I3" s="10">
        <f>COUNTIF(C2:C16,"Blocker")</f>
        <v/>
      </c>
      <c r="J3" s="10">
        <f>COUNTIF(C2:C16,"Not-Executed")</f>
        <v/>
      </c>
    </row>
    <row r="4">
      <c r="A4" s="19" t="n">
        <v>3</v>
      </c>
      <c r="B4" s="20" t="inlineStr">
        <is>
          <t>Verify that the reason SMS is unavailable is stated on screen rather than left blank.</t>
        </is>
      </c>
      <c r="C4" s="10" t="inlineStr">
        <is>
          <t>Not-Executed</t>
        </is>
      </c>
      <c r="D4" s="21" t="inlineStr"/>
    </row>
    <row r="5">
      <c r="A5" s="19" t="n">
        <v>4</v>
      </c>
      <c r="B5" s="20" t="inlineStr">
        <is>
          <t>Verify that disabling a channel stops every module from using it.</t>
        </is>
      </c>
      <c r="C5" s="10" t="inlineStr">
        <is>
          <t>Not-Executed</t>
        </is>
      </c>
      <c r="D5" s="21" t="inlineStr"/>
    </row>
    <row r="6">
      <c r="A6" s="19" t="n">
        <v>5</v>
      </c>
      <c r="B6" s="20" t="inlineStr">
        <is>
          <t>Verify that switching a trigger off stops that notification on all channels.</t>
        </is>
      </c>
      <c r="C6" s="10" t="inlineStr">
        <is>
          <t>Not-Executed</t>
        </is>
      </c>
      <c r="D6" s="21" t="inlineStr"/>
    </row>
    <row r="7">
      <c r="A7" s="19" t="n">
        <v>6</v>
      </c>
      <c r="B7" s="20" t="inlineStr">
        <is>
          <t>Verify that the sickbay send-home alert fires even with every trigger switched off.</t>
        </is>
      </c>
      <c r="C7" s="10" t="inlineStr">
        <is>
          <t>Not-Executed</t>
        </is>
      </c>
      <c r="D7" s="21" t="inlineStr"/>
    </row>
    <row r="8">
      <c r="A8" s="19" t="n">
        <v>7</v>
      </c>
      <c r="B8" s="20" t="inlineStr">
        <is>
          <t>Verify that a parent receives notifications relating only to their own children.</t>
        </is>
      </c>
      <c r="C8" s="10" t="inlineStr">
        <is>
          <t>Not-Executed</t>
        </is>
      </c>
      <c r="D8" s="21" t="inlineStr"/>
    </row>
    <row r="9">
      <c r="A9" s="19" t="n">
        <v>8</v>
      </c>
      <c r="B9" s="20" t="inlineStr">
        <is>
          <t>Verify that an in-app notification is written even when an external channel fails.</t>
        </is>
      </c>
      <c r="C9" s="10" t="inlineStr">
        <is>
          <t>Not-Executed</t>
        </is>
      </c>
      <c r="D9" s="21" t="inlineStr"/>
    </row>
    <row r="10">
      <c r="A10" s="19" t="n">
        <v>9</v>
      </c>
      <c r="B10" s="20" t="inlineStr">
        <is>
          <t>Verify that the bell unread count matches the number of genuinely unread items.</t>
        </is>
      </c>
      <c r="C10" s="10" t="inlineStr">
        <is>
          <t>Not-Executed</t>
        </is>
      </c>
      <c r="D10" s="21" t="inlineStr"/>
    </row>
    <row r="11">
      <c r="A11" s="19" t="n">
        <v>10</v>
      </c>
      <c r="B11" s="20" t="inlineStr">
        <is>
          <t>Verify that opening a notification clears the unread state of that item only.</t>
        </is>
      </c>
      <c r="C11" s="10" t="inlineStr">
        <is>
          <t>Not-Executed</t>
        </is>
      </c>
      <c r="D11" s="21" t="inlineStr"/>
    </row>
    <row r="12">
      <c r="A12" s="19" t="n">
        <v>11</v>
      </c>
      <c r="B12" s="20" t="inlineStr">
        <is>
          <t>Verify that opening a notification deep-links to the relevant record.</t>
        </is>
      </c>
      <c r="C12" s="10" t="inlineStr">
        <is>
          <t>Not-Executed</t>
        </is>
      </c>
      <c r="D12" s="21" t="inlineStr"/>
    </row>
    <row r="13">
      <c r="A13" s="19" t="n">
        <v>12</v>
      </c>
      <c r="B13" s="20" t="inlineStr">
        <is>
          <t>Verify that a delivery failure is logged and never fails the originating business action.</t>
        </is>
      </c>
      <c r="C13" s="10" t="inlineStr">
        <is>
          <t>Not-Executed</t>
        </is>
      </c>
      <c r="D13" s="21" t="inlineStr"/>
    </row>
    <row r="14">
      <c r="A14" s="19" t="n">
        <v>13</v>
      </c>
      <c r="B14" s="20" t="inlineStr">
        <is>
          <t>Verify that the same trigger for the same target on the same day sends only once.</t>
        </is>
      </c>
      <c r="C14" s="10" t="inlineStr">
        <is>
          <t>Not-Executed</t>
        </is>
      </c>
      <c r="D14" s="21" t="inlineStr"/>
    </row>
    <row r="15">
      <c r="A15" s="19" t="n">
        <v>14</v>
      </c>
      <c r="B15" s="20" t="inlineStr">
        <is>
          <t>Verify that notifications queued offline dispatch on reconnect without duplicating.</t>
        </is>
      </c>
      <c r="C15" s="10" t="inlineStr">
        <is>
          <t>Not-Executed</t>
        </is>
      </c>
      <c r="D15" s="21" t="inlineStr"/>
    </row>
    <row r="16">
      <c r="A16" s="19" t="n">
        <v>15</v>
      </c>
      <c r="B16" s="20" t="inlineStr">
        <is>
          <t>Verify that no notification body contains another family's data.</t>
        </is>
      </c>
      <c r="C16" s="10" t="inlineStr">
        <is>
          <t>Not-Executed</t>
        </is>
      </c>
      <c r="D16" s="21" t="inlineStr"/>
    </row>
  </sheetData>
  <mergeCells count="1">
    <mergeCell ref="F1:J1"/>
  </mergeCells>
  <conditionalFormatting sqref="C2:C16">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6" showDropDown="0" showInputMessage="0" showErrorMessage="0" allowBlank="1" type="list">
      <formula1>"Not-Executed,Passed,Failed,Blocker,N/A"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the app can be installed to the device home screen from the browser.</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installed app launches with the school's own branding and icon.</t>
        </is>
      </c>
      <c r="C3" s="10" t="inlineStr">
        <is>
          <t>Not-Executed</t>
        </is>
      </c>
      <c r="D3" s="21" t="inlineStr"/>
      <c r="F3" s="10">
        <f>COUNTA(B2:B14)</f>
        <v/>
      </c>
      <c r="G3" s="10">
        <f>COUNTIF(C2:C14,"Passed")</f>
        <v/>
      </c>
      <c r="H3" s="10">
        <f>COUNTIF(C2:C14,"Failed")</f>
        <v/>
      </c>
      <c r="I3" s="10">
        <f>COUNTIF(C2:C14,"Blocker")</f>
        <v/>
      </c>
      <c r="J3" s="10">
        <f>COUNTIF(C2:C14,"Not-Executed")</f>
        <v/>
      </c>
    </row>
    <row r="4">
      <c r="A4" s="19" t="n">
        <v>3</v>
      </c>
      <c r="B4" s="20" t="inlineStr">
        <is>
          <t>Verify that the app loads and renders while the device is fully offline.</t>
        </is>
      </c>
      <c r="C4" s="10" t="inlineStr">
        <is>
          <t>Not-Executed</t>
        </is>
      </c>
      <c r="D4" s="21" t="inlineStr"/>
    </row>
    <row r="5">
      <c r="A5" s="19" t="n">
        <v>4</v>
      </c>
      <c r="B5" s="20" t="inlineStr">
        <is>
          <t>Verify that a clear offline indicator is shown as soon as connectivity is lost.</t>
        </is>
      </c>
      <c r="C5" s="10" t="inlineStr">
        <is>
          <t>Not-Executed</t>
        </is>
      </c>
      <c r="D5" s="21" t="inlineStr"/>
    </row>
    <row r="6">
      <c r="A6" s="19" t="n">
        <v>5</v>
      </c>
      <c r="B6" s="20" t="inlineStr">
        <is>
          <t>Verify that attendance can be marked while offline.</t>
        </is>
      </c>
      <c r="C6" s="10" t="inlineStr">
        <is>
          <t>Not-Executed</t>
        </is>
      </c>
      <c r="D6" s="21" t="inlineStr"/>
    </row>
    <row r="7">
      <c r="A7" s="19" t="n">
        <v>6</v>
      </c>
      <c r="B7" s="20" t="inlineStr">
        <is>
          <t>Verify that offline changes sync automatically once connectivity returns.</t>
        </is>
      </c>
      <c r="C7" s="10" t="inlineStr">
        <is>
          <t>Not-Executed</t>
        </is>
      </c>
      <c r="D7" s="21" t="inlineStr"/>
    </row>
    <row r="8">
      <c r="A8" s="19" t="n">
        <v>7</v>
      </c>
      <c r="B8" s="20" t="inlineStr">
        <is>
          <t>Verify that no data is lost when the app is closed with offline changes still pending.</t>
        </is>
      </c>
      <c r="C8" s="10" t="inlineStr">
        <is>
          <t>Not-Executed</t>
        </is>
      </c>
      <c r="D8" s="21" t="inlineStr"/>
    </row>
    <row r="9">
      <c r="A9" s="19" t="n">
        <v>8</v>
      </c>
      <c r="B9" s="20" t="inlineStr">
        <is>
          <t>Verify that a sync conflict resolves by the documented rule and is recorded in the audit log.</t>
        </is>
      </c>
      <c r="C9" s="10" t="inlineStr">
        <is>
          <t>Not-Executed</t>
        </is>
      </c>
      <c r="D9" s="21" t="inlineStr"/>
    </row>
    <row r="10">
      <c r="A10" s="19" t="n">
        <v>9</v>
      </c>
      <c r="B10" s="20" t="inlineStr">
        <is>
          <t>Verify that payment records survive an offline to online transition with zero loss.</t>
        </is>
      </c>
      <c r="C10" s="10" t="inlineStr">
        <is>
          <t>Not-Executed</t>
        </is>
      </c>
      <c r="D10" s="21" t="inlineStr"/>
    </row>
    <row r="11">
      <c r="A11" s="19" t="n">
        <v>10</v>
      </c>
      <c r="B11" s="20" t="inlineStr">
        <is>
          <t>Verify that the dashboard shows last-known figures with an offline last-updated marker.</t>
        </is>
      </c>
      <c r="C11" s="10" t="inlineStr">
        <is>
          <t>Not-Executed</t>
        </is>
      </c>
      <c r="D11" s="21" t="inlineStr"/>
    </row>
    <row r="12">
      <c r="A12" s="19" t="n">
        <v>11</v>
      </c>
      <c r="B12" s="20" t="inlineStr">
        <is>
          <t>Verify that actions requiring connectivity are disabled with an explanation while offline.</t>
        </is>
      </c>
      <c r="C12" s="10" t="inlineStr">
        <is>
          <t>Not-Executed</t>
        </is>
      </c>
      <c r="D12" s="21" t="inlineStr"/>
    </row>
    <row r="13">
      <c r="A13" s="19" t="n">
        <v>12</v>
      </c>
      <c r="B13" s="20" t="inlineStr">
        <is>
          <t>Verify that a service worker update does not discard unsynced local data.</t>
        </is>
      </c>
      <c r="C13" s="10" t="inlineStr">
        <is>
          <t>Not-Executed</t>
        </is>
      </c>
      <c r="D13" s="21" t="inlineStr"/>
    </row>
    <row r="14">
      <c r="A14" s="19" t="n">
        <v>13</v>
      </c>
      <c r="B14" s="20" t="inlineStr">
        <is>
          <t>Verify that the app recovers correctly after connectivity drops mid-submission.</t>
        </is>
      </c>
      <c r="C14" s="10" t="inlineStr">
        <is>
          <t>Not-Executed</t>
        </is>
      </c>
      <c r="D14" s="21" t="inlineStr"/>
    </row>
  </sheetData>
  <mergeCells count="1">
    <mergeCell ref="F1:J1"/>
  </mergeCells>
  <conditionalFormatting sqref="C2:C14">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4" showDropDown="0" showInputMessage="0" showErrorMessage="0" allowBlank="1" type="list">
      <formula1>"Not-Executed,Passed,Failed,Blocker,N/A"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cols>
    <col width="6" customWidth="1" min="1" max="1"/>
    <col width="92" customWidth="1" min="2" max="2"/>
    <col width="16" customWidth="1" min="3" max="3"/>
    <col width="38"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t>
        </is>
      </c>
    </row>
    <row r="2">
      <c r="A2" s="19" t="n">
        <v>1</v>
      </c>
      <c r="B2" s="20" t="inlineStr">
        <is>
          <t>Verify that users can navigate between screens and modules without confusion.</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Check for consistent design elements like fonts, colours and button styles throughout the app.</t>
        </is>
      </c>
      <c r="C3" s="10" t="inlineStr">
        <is>
          <t>Not-Executed</t>
        </is>
      </c>
      <c r="D3" s="21" t="inlineStr"/>
      <c r="F3" s="10">
        <f>COUNTA(B2:B21)</f>
        <v/>
      </c>
      <c r="G3" s="10">
        <f>COUNTIF(C2:C21,"Passed")</f>
        <v/>
      </c>
      <c r="H3" s="10">
        <f>COUNTIF(C2:C21,"Failed")</f>
        <v/>
      </c>
      <c r="I3" s="10">
        <f>COUNTIF(C2:C21,"Blocker")</f>
        <v/>
      </c>
      <c r="J3" s="10">
        <f>COUNTIF(C2:C21,"Not-Executed")</f>
        <v/>
      </c>
    </row>
    <row r="4">
      <c r="A4" s="19" t="n">
        <v>3</v>
      </c>
      <c r="B4" s="20" t="inlineStr">
        <is>
          <t>Ensure that the placement of buttons, icons and menus feels natural and intuitive.</t>
        </is>
      </c>
      <c r="C4" s="10" t="inlineStr">
        <is>
          <t>Not-Executed</t>
        </is>
      </c>
      <c r="D4" s="21" t="inlineStr"/>
    </row>
    <row r="5">
      <c r="A5" s="19" t="n">
        <v>4</v>
      </c>
      <c r="B5" s="20" t="inlineStr">
        <is>
          <t>Verify that error messages are clear, helpful and guide the user to resolve the issue.</t>
        </is>
      </c>
      <c r="C5" s="10" t="inlineStr">
        <is>
          <t>Not-Executed</t>
        </is>
      </c>
      <c r="D5" s="21" t="inlineStr"/>
    </row>
    <row r="6">
      <c r="A6" s="19" t="n">
        <v>5</v>
      </c>
      <c r="B6" s="20" t="inlineStr">
        <is>
          <t>Ensure text and background colours meet accessibility contrast standards.</t>
        </is>
      </c>
      <c r="C6" s="10" t="inlineStr">
        <is>
          <t>Not-Executed</t>
        </is>
      </c>
      <c r="D6" s="21" t="inlineStr"/>
    </row>
    <row r="7">
      <c r="A7" s="19" t="n">
        <v>6</v>
      </c>
      <c r="B7" s="20" t="inlineStr">
        <is>
          <t>Verify that status is never communicated by colour alone.</t>
        </is>
      </c>
      <c r="C7" s="10" t="inlineStr">
        <is>
          <t>Not-Executed</t>
        </is>
      </c>
      <c r="D7" s="21" t="inlineStr"/>
    </row>
    <row r="8">
      <c r="A8" s="19" t="n">
        <v>7</v>
      </c>
      <c r="B8" s="20" t="inlineStr">
        <is>
          <t>Verify that font sizes adjust correctly when the user changes device text size settings.</t>
        </is>
      </c>
      <c r="C8" s="10" t="inlineStr">
        <is>
          <t>Not-Executed</t>
        </is>
      </c>
      <c r="D8" s="21" t="inlineStr"/>
    </row>
    <row r="9">
      <c r="A9" s="19" t="n">
        <v>8</v>
      </c>
      <c r="B9" s="20" t="inlineStr">
        <is>
          <t>Verify that every form input has an associated visible label.</t>
        </is>
      </c>
      <c r="C9" s="10" t="inlineStr">
        <is>
          <t>Not-Executed</t>
        </is>
      </c>
      <c r="D9" s="21" t="inlineStr"/>
    </row>
    <row r="10">
      <c r="A10" s="19" t="n">
        <v>9</v>
      </c>
      <c r="B10" s="20" t="inlineStr">
        <is>
          <t>Verify that users can easily access help and support when needed.</t>
        </is>
      </c>
      <c r="C10" s="10" t="inlineStr">
        <is>
          <t>Not-Executed</t>
        </is>
      </c>
      <c r="D10" s="21" t="inlineStr"/>
    </row>
    <row r="11">
      <c r="A11" s="19" t="n">
        <v>10</v>
      </c>
      <c r="B11" s="20" t="inlineStr">
        <is>
          <t>Test the ease of creating, logging into and managing user accounts.</t>
        </is>
      </c>
      <c r="C11" s="10" t="inlineStr">
        <is>
          <t>Not-Executed</t>
        </is>
      </c>
      <c r="D11" s="21" t="inlineStr"/>
    </row>
    <row r="12">
      <c r="A12" s="19" t="n">
        <v>11</v>
      </c>
      <c r="B12" s="20" t="inlineStr">
        <is>
          <t>Verify that touch inputs, swipes and gestures are responsive and smooth.</t>
        </is>
      </c>
      <c r="C12" s="10" t="inlineStr">
        <is>
          <t>Not-Executed</t>
        </is>
      </c>
      <c r="D12" s="21" t="inlineStr"/>
    </row>
    <row r="13">
      <c r="A13" s="19" t="n">
        <v>12</v>
      </c>
      <c r="B13" s="20" t="inlineStr">
        <is>
          <t>Verify that users receive immediate feedback for actions like button presses or submissions.</t>
        </is>
      </c>
      <c r="C13" s="10" t="inlineStr">
        <is>
          <t>Not-Executed</t>
        </is>
      </c>
      <c r="D13" s="21" t="inlineStr"/>
    </row>
    <row r="14">
      <c r="A14" s="19" t="n">
        <v>13</v>
      </c>
      <c r="B14" s="20" t="inlineStr">
        <is>
          <t>Ensure loading spinners or progress bars appear during data loading or processing.</t>
        </is>
      </c>
      <c r="C14" s="10" t="inlineStr">
        <is>
          <t>Not-Executed</t>
        </is>
      </c>
      <c r="D14" s="21" t="inlineStr"/>
    </row>
    <row r="15">
      <c r="A15" s="19" t="n">
        <v>14</v>
      </c>
      <c r="B15" s="20" t="inlineStr">
        <is>
          <t>Test the ease of applying and removing filters or sorting options on data tables.</t>
        </is>
      </c>
      <c r="C15" s="10" t="inlineStr">
        <is>
          <t>Not-Executed</t>
        </is>
      </c>
      <c r="D15" s="21" t="inlineStr"/>
    </row>
    <row r="16">
      <c r="A16" s="19" t="n">
        <v>15</v>
      </c>
      <c r="B16" s="20" t="inlineStr">
        <is>
          <t>Verify that search is easy to locate, use and returns relevant results.</t>
        </is>
      </c>
      <c r="C16" s="10" t="inlineStr">
        <is>
          <t>Not-Executed</t>
        </is>
      </c>
      <c r="D16" s="21" t="inlineStr"/>
    </row>
    <row r="17">
      <c r="A17" s="19" t="n">
        <v>16</v>
      </c>
      <c r="B17" s="20" t="inlineStr">
        <is>
          <t>Verify confirmation prompts appear for irreversible actions such as deleting a record.</t>
        </is>
      </c>
      <c r="C17" s="10" t="inlineStr">
        <is>
          <t>Not-Executed</t>
        </is>
      </c>
      <c r="D17" s="21" t="inlineStr"/>
    </row>
    <row r="18">
      <c r="A18" s="19" t="n">
        <v>17</v>
      </c>
      <c r="B18" s="20" t="inlineStr">
        <is>
          <t>Ensure the design and functionality are consistent across supported browsers and devices.</t>
        </is>
      </c>
      <c r="C18" s="10" t="inlineStr">
        <is>
          <t>Not-Executed</t>
        </is>
      </c>
      <c r="D18" s="21" t="inlineStr"/>
    </row>
    <row r="19">
      <c r="A19" s="19" t="n">
        <v>18</v>
      </c>
      <c r="B19" s="20" t="inlineStr">
        <is>
          <t>Verify that wide tables scroll within their own container without breaking the page layout.</t>
        </is>
      </c>
      <c r="C19" s="10" t="inlineStr">
        <is>
          <t>Not-Executed</t>
        </is>
      </c>
      <c r="D19" s="21" t="inlineStr"/>
    </row>
    <row r="20">
      <c r="A20" s="19" t="n">
        <v>19</v>
      </c>
      <c r="B20" s="20" t="inlineStr">
        <is>
          <t>Verify that every module handles empty, loading, error and success states.</t>
        </is>
      </c>
      <c r="C20" s="10" t="inlineStr">
        <is>
          <t>Not-Executed</t>
        </is>
      </c>
      <c r="D20" s="21" t="inlineStr"/>
    </row>
    <row r="21">
      <c r="A21" s="19" t="n">
        <v>20</v>
      </c>
      <c r="B21" s="20" t="inlineStr">
        <is>
          <t>Verify that the app is usable and legible on a small mid-range phone screen.</t>
        </is>
      </c>
      <c r="C21" s="10" t="inlineStr">
        <is>
          <t>Not-Executed</t>
        </is>
      </c>
      <c r="D21" s="21" t="inlineStr"/>
    </row>
  </sheetData>
  <mergeCells count="1">
    <mergeCell ref="F1:J1"/>
  </mergeCells>
  <conditionalFormatting sqref="C2:C21">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1" showDropDown="0" showInputMessage="0" showErrorMessage="0" allowBlank="1" type="list">
      <formula1>"Not-Executed,Passed,Failed,Blocker,N/A"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40" customWidth="1" min="3" max="3"/>
    <col width="9" customWidth="1" min="4" max="4"/>
    <col width="14" customWidth="1" min="5" max="5"/>
    <col width="34" customWidth="1" min="6" max="6"/>
    <col width="46" customWidth="1" min="7" max="7"/>
    <col width="26" customWidth="1" min="8" max="8"/>
    <col width="50" customWidth="1" min="9" max="9"/>
    <col width="24" customWidth="1" min="10" max="10"/>
    <col width="15" customWidth="1" min="11" max="11"/>
    <col width="24" customWidth="1" min="12" max="12"/>
  </cols>
  <sheetData>
    <row r="1" ht="30" customHeight="1">
      <c r="A1" s="2" t="inlineStr">
        <is>
          <t>Test Case ID</t>
        </is>
      </c>
      <c r="B1" s="2" t="inlineStr">
        <is>
          <t>Module</t>
        </is>
      </c>
      <c r="C1" s="2" t="inlineStr">
        <is>
          <t>Title / Objective</t>
        </is>
      </c>
      <c r="D1" s="2" t="inlineStr">
        <is>
          <t>Priority</t>
        </is>
      </c>
      <c r="E1" s="2" t="inlineStr">
        <is>
          <t>Type</t>
        </is>
      </c>
      <c r="F1" s="2" t="inlineStr">
        <is>
          <t>Preconditions</t>
        </is>
      </c>
      <c r="G1" s="2" t="inlineStr">
        <is>
          <t>Test Steps</t>
        </is>
      </c>
      <c r="H1" s="2" t="inlineStr">
        <is>
          <t>Test Data</t>
        </is>
      </c>
      <c r="I1" s="2" t="inlineStr">
        <is>
          <t>Expected Result</t>
        </is>
      </c>
      <c r="J1" s="2" t="inlineStr">
        <is>
          <t>Actual Result</t>
        </is>
      </c>
      <c r="K1" s="2" t="inlineStr">
        <is>
          <t>Status</t>
        </is>
      </c>
      <c r="L1" s="2" t="inlineStr">
        <is>
          <t>Comment</t>
        </is>
      </c>
    </row>
    <row r="2" ht="96" customHeight="1">
      <c r="A2" s="10" t="inlineStr">
        <is>
          <t>TC_AUTH_001</t>
        </is>
      </c>
      <c r="B2" s="20" t="inlineStr">
        <is>
          <t>Auth &amp; Tenancy</t>
        </is>
      </c>
      <c r="C2" s="20" t="inlineStr">
        <is>
          <t>Role-aware login routes each user to the correct portal</t>
        </is>
      </c>
      <c r="D2" s="4" t="inlineStr">
        <is>
          <t>High</t>
        </is>
      </c>
      <c r="E2" s="4" t="inlineStr">
        <is>
          <t>Functional</t>
        </is>
      </c>
      <c r="F2" s="20" t="inlineStr">
        <is>
          <t>A school exists and is Active. An owner, teacher and parent account each exist for it.</t>
        </is>
      </c>
      <c r="G2" s="20" t="inlineStr">
        <is>
          <t>1. Open the school's CASPAA URL.
2. Enter the owner's email and password.
3. Tap Sign in.
4. Sign out.
5. Repeat steps 2-3 with the teacher account, then the parent account.</t>
        </is>
      </c>
      <c r="H2" s="20" t="inlineStr">
        <is>
          <t>owner@school.test / Passw0rd!
teacher@school.test / Passw0rd!
parent@school.test / Passw0rd!</t>
        </is>
      </c>
      <c r="I2" s="20" t="inlineStr">
        <is>
          <t>Owner lands on the admin dashboard with the full nav. Teacher lands on the teacher dashboard with no finance nav. Parent lands on the parent dashboard showing only their own children.</t>
        </is>
      </c>
      <c r="J2" s="20" t="inlineStr"/>
      <c r="K2" s="10" t="inlineStr">
        <is>
          <t>Not-Executed</t>
        </is>
      </c>
      <c r="L2" s="20" t="inlineStr"/>
    </row>
    <row r="3" ht="96" customHeight="1">
      <c r="A3" s="10" t="inlineStr">
        <is>
          <t>TC_AUTH_002</t>
        </is>
      </c>
      <c r="B3" s="20" t="inlineStr">
        <is>
          <t>Auth &amp; Tenancy</t>
        </is>
      </c>
      <c r="C3" s="20" t="inlineStr">
        <is>
          <t>Cross-tenant data isolation is enforced</t>
        </is>
      </c>
      <c r="D3" s="4" t="inlineStr">
        <is>
          <t>High</t>
        </is>
      </c>
      <c r="E3" s="4" t="inlineStr">
        <is>
          <t>Security</t>
        </is>
      </c>
      <c r="F3" s="20" t="inlineStr">
        <is>
          <t>Two schools exist, School A and School B, each with students.</t>
        </is>
      </c>
      <c r="G3" s="20" t="inlineStr">
        <is>
          <t>1. Sign in as the School A admin.
2. Copy a student record ID belonging to School B.
3. Deep-link to the student detail view using School B's student ID.
4. Observe the response.</t>
        </is>
      </c>
      <c r="H3" s="20" t="inlineStr">
        <is>
          <t>School A admin account.
School B student ID: stu_b_0001</t>
        </is>
      </c>
      <c r="I3" s="20" t="inlineStr">
        <is>
          <t>The record is not returned. A not-found or access-denied screen is shown. No School B data appears anywhere in the response, and the attempt is written to the audit log.</t>
        </is>
      </c>
      <c r="J3" s="20" t="inlineStr"/>
      <c r="K3" s="10" t="inlineStr">
        <is>
          <t>Not-Executed</t>
        </is>
      </c>
      <c r="L3" s="20" t="inlineStr"/>
    </row>
    <row r="4" ht="96" customHeight="1">
      <c r="A4" s="10" t="inlineStr">
        <is>
          <t>TC_AUTH_003</t>
        </is>
      </c>
      <c r="B4" s="20" t="inlineStr">
        <is>
          <t>Auth &amp; Tenancy</t>
        </is>
      </c>
      <c r="C4" s="20" t="inlineStr">
        <is>
          <t>Verification gate blocks an unverified proprietor</t>
        </is>
      </c>
      <c r="D4" s="4" t="inlineStr">
        <is>
          <t>High</t>
        </is>
      </c>
      <c r="E4" s="4" t="inlineStr">
        <is>
          <t>Negative</t>
        </is>
      </c>
      <c r="F4" s="20" t="inlineStr">
        <is>
          <t>A proprietor has self-registered and uploaded a document. Verification status is pending.</t>
        </is>
      </c>
      <c r="G4" s="20" t="inlineStr">
        <is>
          <t>1. Sign in as the pending proprietor.
2. Observe the landing screen.
3. Attempt to deep-link directly to the admin dashboard URL.
4. Attempt to deep-link to the finance view.</t>
        </is>
      </c>
      <c r="H4" s="20" t="inlineStr">
        <is>
          <t>pending.proprietor@school.test</t>
        </is>
      </c>
      <c r="I4" s="20" t="inlineStr">
        <is>
          <t>The verification screen renders on every attempt. School name, official email and submitted documents are shown. No dashboard or module view is reachable by any deep link. Sign out remains available.</t>
        </is>
      </c>
      <c r="J4" s="20" t="inlineStr"/>
      <c r="K4" s="10" t="inlineStr">
        <is>
          <t>Not-Executed</t>
        </is>
      </c>
      <c r="L4" s="20" t="inlineStr"/>
    </row>
    <row r="5" ht="96" customHeight="1">
      <c r="A5" s="10" t="inlineStr">
        <is>
          <t>TC_STU_001</t>
        </is>
      </c>
      <c r="B5" s="20" t="inlineStr">
        <is>
          <t>Students &amp; Admissions</t>
        </is>
      </c>
      <c r="C5" s="20" t="inlineStr">
        <is>
          <t>Duplicate admission number is rejected</t>
        </is>
      </c>
      <c r="D5" s="4" t="inlineStr">
        <is>
          <t>High</t>
        </is>
      </c>
      <c r="E5" s="4" t="inlineStr">
        <is>
          <t>Negative</t>
        </is>
      </c>
      <c r="F5" s="20" t="inlineStr">
        <is>
          <t>A student already exists with admission number ADM/2026/001.</t>
        </is>
      </c>
      <c r="G5" s="20" t="inlineStr">
        <is>
          <t>1. Sign in as admin.
2. Go to Students and select Add Student.
3. Complete all required fields.
4. Enter admission number ADM/2026/001.
5. Tap Save.</t>
        </is>
      </c>
      <c r="H5" s="20" t="inlineStr">
        <is>
          <t>Name: Test Child
Class: JSS1A
Admission no: ADM/2026/001</t>
        </is>
      </c>
      <c r="I5" s="20" t="inlineStr">
        <is>
          <t>A validation error is shown stating the admission number is already in use. The student is not created. No partial record is written.</t>
        </is>
      </c>
      <c r="J5" s="20" t="inlineStr"/>
      <c r="K5" s="10" t="inlineStr">
        <is>
          <t>Not-Executed</t>
        </is>
      </c>
      <c r="L5" s="20" t="inlineStr"/>
    </row>
    <row r="6" ht="96" customHeight="1">
      <c r="A6" s="10" t="inlineStr">
        <is>
          <t>TC_STU_002</t>
        </is>
      </c>
      <c r="B6" s="20" t="inlineStr">
        <is>
          <t>Students &amp; Admissions</t>
        </is>
      </c>
      <c r="C6" s="20" t="inlineStr">
        <is>
          <t>New student propagates to roster, attendance and fees</t>
        </is>
      </c>
      <c r="D6" s="4" t="inlineStr">
        <is>
          <t>High</t>
        </is>
      </c>
      <c r="E6" s="4" t="inlineStr">
        <is>
          <t>Functional</t>
        </is>
      </c>
      <c r="F6" s="20" t="inlineStr">
        <is>
          <t>A class JSS1A exists with an active fee structure for the current term.</t>
        </is>
      </c>
      <c r="G6" s="20" t="inlineStr">
        <is>
          <t>1. Add a new student to JSS1A with a linked parent.
2. Save.
3. Open Academic &gt; Classes &gt; JSS1A roster.
4. Open Attendance and select JSS1A.
5. Open Finance &gt; Invoices and filter to JSS1A.
6. Sign in as the linked parent.</t>
        </is>
      </c>
      <c r="H6" s="20" t="inlineStr">
        <is>
          <t>Name: Ada Obi
Class: JSS1A
Parent: parent@school.test</t>
        </is>
      </c>
      <c r="I6" s="20" t="inlineStr">
        <is>
          <t>The student appears in the roster, in the attendance register and in the fee module immediately. The linked parent receives an in-app notification and sees the child on their dashboard.</t>
        </is>
      </c>
      <c r="J6" s="20" t="inlineStr"/>
      <c r="K6" s="10" t="inlineStr">
        <is>
          <t>Not-Executed</t>
        </is>
      </c>
      <c r="L6" s="20" t="inlineStr"/>
    </row>
    <row r="7" ht="96" customHeight="1">
      <c r="A7" s="10" t="inlineStr">
        <is>
          <t>TC_STU_003</t>
        </is>
      </c>
      <c r="B7" s="20" t="inlineStr">
        <is>
          <t>Students &amp; Admissions</t>
        </is>
      </c>
      <c r="C7" s="20" t="inlineStr">
        <is>
          <t>Bulk CSV import is transactional per row</t>
        </is>
      </c>
      <c r="D7" s="4" t="inlineStr">
        <is>
          <t>Medium</t>
        </is>
      </c>
      <c r="E7" s="4" t="inlineStr">
        <is>
          <t>Functional</t>
        </is>
      </c>
      <c r="F7" s="20" t="inlineStr">
        <is>
          <t>Admin has a CSV of 10 students where rows 4 and 7 are invalid (missing class, duplicate admission number).</t>
        </is>
      </c>
      <c r="G7" s="20" t="inlineStr">
        <is>
          <t>1. Go to Students &gt; Bulk Import CSV.
2. Upload the prepared CSV.
3. Review the preview screen.
4. Confirm the import.
5. Check the resulting student list.</t>
        </is>
      </c>
      <c r="H7" s="20" t="inlineStr">
        <is>
          <t>students_10rows.csv (rows 4 and 7 invalid)</t>
        </is>
      </c>
      <c r="I7" s="20" t="inlineStr">
        <is>
          <t>The preview flags rows 4 and 7 with a specific reason each. On confirm, 8 students are imported and 2 are reported as skipped. The valid rows are unaffected by the invalid ones.</t>
        </is>
      </c>
      <c r="J7" s="20" t="inlineStr"/>
      <c r="K7" s="10" t="inlineStr">
        <is>
          <t>Not-Executed</t>
        </is>
      </c>
      <c r="L7" s="20" t="inlineStr"/>
    </row>
    <row r="8" ht="96" customHeight="1">
      <c r="A8" s="10" t="inlineStr">
        <is>
          <t>TC_ATT_001</t>
        </is>
      </c>
      <c r="B8" s="20" t="inlineStr">
        <is>
          <t>Attendance</t>
        </is>
      </c>
      <c r="C8" s="20" t="inlineStr">
        <is>
          <t>Absence triggers a same-day parent alert</t>
        </is>
      </c>
      <c r="D8" s="4" t="inlineStr">
        <is>
          <t>High</t>
        </is>
      </c>
      <c r="E8" s="4" t="inlineStr">
        <is>
          <t>Functional</t>
        </is>
      </c>
      <c r="F8" s="20" t="inlineStr">
        <is>
          <t>Teacher is assigned to JSS1A. At least one student in JSS1A has a linked parent. The absence trigger is enabled.</t>
        </is>
      </c>
      <c r="G8" s="20" t="inlineStr">
        <is>
          <t>1. Sign in as the class teacher.
2. Open Attendance and select JSS1A.
3. Toggle one student to Absent.
4. Submit the register.
5. Sign in as that student's parent.
6. Open the notification bell.</t>
        </is>
      </c>
      <c r="H8" s="20" t="inlineStr">
        <is>
          <t>Class: JSS1A
Student: Ada Obi</t>
        </is>
      </c>
      <c r="I8" s="20" t="inlineStr">
        <is>
          <t>The register saves. The parent of the absent student receives a notification the same day naming the child and the date. Parents of present students receive nothing.</t>
        </is>
      </c>
      <c r="J8" s="20" t="inlineStr"/>
      <c r="K8" s="10" t="inlineStr">
        <is>
          <t>Not-Executed</t>
        </is>
      </c>
      <c r="L8" s="20" t="inlineStr"/>
    </row>
    <row r="9" ht="96" customHeight="1">
      <c r="A9" s="10" t="inlineStr">
        <is>
          <t>TC_ATT_002</t>
        </is>
      </c>
      <c r="B9" s="20" t="inlineStr">
        <is>
          <t>Attendance</t>
        </is>
      </c>
      <c r="C9" s="20" t="inlineStr">
        <is>
          <t>Offline attendance syncs without duplicating</t>
        </is>
      </c>
      <c r="D9" s="4" t="inlineStr">
        <is>
          <t>High</t>
        </is>
      </c>
      <c r="E9" s="4" t="inlineStr">
        <is>
          <t>Functional</t>
        </is>
      </c>
      <c r="F9" s="20" t="inlineStr">
        <is>
          <t>The PWA is installed. Teacher is signed in and assigned to JSS1A.</t>
        </is>
      </c>
      <c r="G9" s="20" t="inlineStr">
        <is>
          <t>1. Put the device into airplane mode.
2. Open Attendance for JSS1A.
3. Mark two students Absent and submit.
4. Confirm the offline indicator and queued state.
5. Restore connectivity.
6. Wait for sync, then reload the register.</t>
        </is>
      </c>
      <c r="H9" s="20" t="inlineStr">
        <is>
          <t>Class: JSS1A, today's date</t>
        </is>
      </c>
      <c r="I9" s="20" t="inlineStr">
        <is>
          <t>The register submits and is queued offline. On reconnect it syncs automatically. Exactly one attendance record exists for that class and date, with both absences intact and parent alerts sent once.</t>
        </is>
      </c>
      <c r="J9" s="20" t="inlineStr"/>
      <c r="K9" s="10" t="inlineStr">
        <is>
          <t>Not-Executed</t>
        </is>
      </c>
      <c r="L9" s="20" t="inlineStr"/>
    </row>
    <row r="10" ht="96" customHeight="1">
      <c r="A10" s="10" t="inlineStr">
        <is>
          <t>TC_ATT_003</t>
        </is>
      </c>
      <c r="B10" s="20" t="inlineStr">
        <is>
          <t>Attendance</t>
        </is>
      </c>
      <c r="C10" s="20" t="inlineStr">
        <is>
          <t>Duplicate submission for the same day is prevented</t>
        </is>
      </c>
      <c r="D10" s="4" t="inlineStr">
        <is>
          <t>Medium</t>
        </is>
      </c>
      <c r="E10" s="4" t="inlineStr">
        <is>
          <t>Negative</t>
        </is>
      </c>
      <c r="F10" s="20" t="inlineStr">
        <is>
          <t>Attendance for JSS1A has already been submitted for today.</t>
        </is>
      </c>
      <c r="G10" s="20" t="inlineStr">
        <is>
          <t>1. Sign in as the class teacher.
2. Open Attendance and select JSS1A for today.
3. Attempt to change a status and submit again.</t>
        </is>
      </c>
      <c r="H10" s="20" t="inlineStr">
        <is>
          <t>Class: JSS1A, today's date</t>
        </is>
      </c>
      <c r="I10" s="20" t="inlineStr">
        <is>
          <t>The register is locked for that day. Re-submission is blocked with a clear message directing the teacher to request an admin override. No second record is created.</t>
        </is>
      </c>
      <c r="J10" s="20" t="inlineStr"/>
      <c r="K10" s="10" t="inlineStr">
        <is>
          <t>Not-Executed</t>
        </is>
      </c>
      <c r="L10" s="20" t="inlineStr"/>
    </row>
    <row r="11" ht="96" customHeight="1">
      <c r="A11" s="10" t="inlineStr">
        <is>
          <t>TC_RES_001</t>
        </is>
      </c>
      <c r="B11" s="20" t="inlineStr">
        <is>
          <t>Results &amp; Reporting</t>
        </is>
      </c>
      <c r="C11" s="20" t="inlineStr">
        <is>
          <t>Unapproved results are invisible to parents and students</t>
        </is>
      </c>
      <c r="D11" s="4" t="inlineStr">
        <is>
          <t>High</t>
        </is>
      </c>
      <c r="E11" s="4" t="inlineStr">
        <is>
          <t>Security</t>
        </is>
      </c>
      <c r="F11" s="20" t="inlineStr">
        <is>
          <t>A teacher has entered but not submitted results for JSS1A Mathematics.</t>
        </is>
      </c>
      <c r="G11" s="20" t="inlineStr">
        <is>
          <t>1. Sign in as the teacher and enter CA and exam scores for JSS1A Mathematics.
2. Submit for approval.
3. Sign in as a JSS1A parent and open Results.
4. Sign in as a JSS1A student and open My Results.
5. Attempt to deep-link to the result record ID as the parent.</t>
        </is>
      </c>
      <c r="H11" s="20" t="inlineStr">
        <is>
          <t>Class: JSS1A
Subject: Mathematics
CA: 28, Exam: 55</t>
        </is>
      </c>
      <c r="I11" s="20" t="inlineStr">
        <is>
          <t>Neither parent nor student sees any score. An amber pending banner is displayed instead. The deep link returns no result data.</t>
        </is>
      </c>
      <c r="J11" s="20" t="inlineStr"/>
      <c r="K11" s="10" t="inlineStr">
        <is>
          <t>Not-Executed</t>
        </is>
      </c>
      <c r="L11" s="20" t="inlineStr"/>
    </row>
    <row r="12" ht="96" customHeight="1">
      <c r="A12" s="10" t="inlineStr">
        <is>
          <t>TC_RES_002</t>
        </is>
      </c>
      <c r="B12" s="20" t="inlineStr">
        <is>
          <t>Results &amp; Reporting</t>
        </is>
      </c>
      <c r="C12" s="20" t="inlineStr">
        <is>
          <t>Approval requires a comment for every student</t>
        </is>
      </c>
      <c r="D12" s="4" t="inlineStr">
        <is>
          <t>High</t>
        </is>
      </c>
      <c r="E12" s="4" t="inlineStr">
        <is>
          <t>Negative</t>
        </is>
      </c>
      <c r="F12" s="20" t="inlineStr">
        <is>
          <t>Results for JSS1A Mathematics are submitted and pending approval. 20 students, 19 have comments.</t>
        </is>
      </c>
      <c r="G12" s="20" t="inlineStr">
        <is>
          <t>1. Sign in as admin.
2. Open Academic &gt; Results and select the pending JSS1A Mathematics broadsheet.
3. Leave one student without a comment.
4. Attempt to tap Approve.
5. Add the missing comment.
6. Tap Approve.</t>
        </is>
      </c>
      <c r="H12" s="20" t="inlineStr">
        <is>
          <t>Class: JSS1A, 20 students</t>
        </is>
      </c>
      <c r="I12" s="20" t="inlineStr">
        <is>
          <t>Approve is disabled while any comment is missing, with the reason shown. Once the last comment is added, Approve becomes enabled and succeeds. Parents and students are notified exactly once.</t>
        </is>
      </c>
      <c r="J12" s="20" t="inlineStr"/>
      <c r="K12" s="10" t="inlineStr">
        <is>
          <t>Not-Executed</t>
        </is>
      </c>
      <c r="L12" s="20" t="inlineStr"/>
    </row>
    <row r="13" ht="96" customHeight="1">
      <c r="A13" s="10" t="inlineStr">
        <is>
          <t>TC_RES_003</t>
        </is>
      </c>
      <c r="B13" s="20" t="inlineStr">
        <is>
          <t>Results &amp; Reporting</t>
        </is>
      </c>
      <c r="C13" s="20" t="inlineStr">
        <is>
          <t>Tied averages share a rank and the next rank skips</t>
        </is>
      </c>
      <c r="D13" s="4" t="inlineStr">
        <is>
          <t>Medium</t>
        </is>
      </c>
      <c r="E13" s="4" t="inlineStr">
        <is>
          <t>Functional</t>
        </is>
      </c>
      <c r="F13" s="20" t="inlineStr">
        <is>
          <t>Results are entered for a class where two students share an identical average.</t>
        </is>
      </c>
      <c r="G13" s="20" t="inlineStr">
        <is>
          <t>1. Enter results producing averages: 82, 78, 78, 71.
2. Submit and approve.
3. Open the broadsheet.
4. Open the report card of each of the two tied students.</t>
        </is>
      </c>
      <c r="H13" s="20" t="inlineStr">
        <is>
          <t>Averages: 82, 78, 78, 71</t>
        </is>
      </c>
      <c r="I13" s="20" t="inlineStr">
        <is>
          <t>Ranks read 1, 2, 2, 4. The two tied students both show rank 2. Rank 3 is skipped. Each report card shows the same rank as the broadsheet.</t>
        </is>
      </c>
      <c r="J13" s="20" t="inlineStr"/>
      <c r="K13" s="10" t="inlineStr">
        <is>
          <t>Not-Executed</t>
        </is>
      </c>
      <c r="L13" s="20" t="inlineStr"/>
    </row>
    <row r="14" ht="96" customHeight="1">
      <c r="A14" s="10" t="inlineStr">
        <is>
          <t>TC_FIN_001</t>
        </is>
      </c>
      <c r="B14" s="20" t="inlineStr">
        <is>
          <t>Finance &amp; Fees</t>
        </is>
      </c>
      <c r="C14" s="20" t="inlineStr">
        <is>
          <t>Ledger itemises every charge, discount and payment</t>
        </is>
      </c>
      <c r="D14" s="4" t="inlineStr">
        <is>
          <t>High</t>
        </is>
      </c>
      <c r="E14" s="4" t="inlineStr">
        <is>
          <t>Functional</t>
        </is>
      </c>
      <c r="F14" s="20" t="inlineStr">
        <is>
          <t>A student has an opening balance, a term invoice with 3 fee items, a sibling discount and one part payment.</t>
        </is>
      </c>
      <c r="G14" s="20" t="inlineStr">
        <is>
          <t>1. Sign in as finance.
2. Open the student's ledger.
3. Inspect every row and its date.
4. Note the running balance after each row.
5. Compare against the invoice and payment records.</t>
        </is>
      </c>
      <c r="H14" s="20" t="inlineStr">
        <is>
          <t>Opening balance: 15,000
Tuition 120,000, Bus 30,000, Books 10,000
Sibling discount: 12,000
Payment: 80,000</t>
        </is>
      </c>
      <c r="I14" s="20" t="inlineStr">
        <is>
          <t>Each of the 6 movements appears as its own dated row. Nothing is lumped. The running balance updates correctly line by line and ends at 83,000. The discount shows as a separate credit line.</t>
        </is>
      </c>
      <c r="J14" s="20" t="inlineStr"/>
      <c r="K14" s="10" t="inlineStr">
        <is>
          <t>Not-Executed</t>
        </is>
      </c>
      <c r="L14" s="20" t="inlineStr"/>
    </row>
    <row r="15" ht="96" customHeight="1">
      <c r="A15" s="10" t="inlineStr">
        <is>
          <t>TC_FIN_002</t>
        </is>
      </c>
      <c r="B15" s="20" t="inlineStr">
        <is>
          <t>Finance &amp; Fees</t>
        </is>
      </c>
      <c r="C15" s="20" t="inlineStr">
        <is>
          <t>Ledger invariant debit minus credit equals balance</t>
        </is>
      </c>
      <c r="D15" s="4" t="inlineStr">
        <is>
          <t>High</t>
        </is>
      </c>
      <c r="E15" s="4" t="inlineStr">
        <is>
          <t>Functional</t>
        </is>
      </c>
      <c r="F15" s="20" t="inlineStr">
        <is>
          <t>At least 20 students with a mix of invoices, discounts, payments and credits exist.</t>
        </is>
      </c>
      <c r="G15" s="20" t="inlineStr">
        <is>
          <t>1. Sign in as finance.
2. For each of 20 students, open the ledger.
3. Record debit total, credit total and closing balance.
4. Assert debit total minus credit total equals the closing balance for each.</t>
        </is>
      </c>
      <c r="H15" s="20" t="inlineStr">
        <is>
          <t>20 student accounts across 3 classes</t>
        </is>
      </c>
      <c r="I15" s="20" t="inlineStr">
        <is>
          <t>The invariant holds for all 20 students with no rounding drift. No student shows a balance inconsistent with their transaction rows.</t>
        </is>
      </c>
      <c r="J15" s="20" t="inlineStr"/>
      <c r="K15" s="10" t="inlineStr">
        <is>
          <t>Not-Executed</t>
        </is>
      </c>
      <c r="L15" s="20" t="inlineStr"/>
    </row>
    <row r="16" ht="96" customHeight="1">
      <c r="A16" s="10" t="inlineStr">
        <is>
          <t>TC_FIN_003</t>
        </is>
      </c>
      <c r="B16" s="20" t="inlineStr">
        <is>
          <t>Finance &amp; Fees</t>
        </is>
      </c>
      <c r="C16" s="20" t="inlineStr">
        <is>
          <t>Overpayment becomes credit and auto-applies to the next invoice</t>
        </is>
      </c>
      <c r="D16" s="4" t="inlineStr">
        <is>
          <t>High</t>
        </is>
      </c>
      <c r="E16" s="4" t="inlineStr">
        <is>
          <t>Functional</t>
        </is>
      </c>
      <c r="F16" s="20" t="inlineStr">
        <is>
          <t>A student has one outstanding invoice of 50,000 and no credit balance.</t>
        </is>
      </c>
      <c r="G16" s="20" t="inlineStr">
        <is>
          <t>1. Record a payment of 65,000 against the invoice.
2. Open the student's ledger and wallet.
3. Generate the next term's invoice for that student.
4. Re-open the ledger.
5. Sign in as the parent and check notifications.</t>
        </is>
      </c>
      <c r="H16" s="20" t="inlineStr">
        <is>
          <t>Invoice: 50,000
Payment: 65,000
Next invoice: 120,000</t>
        </is>
      </c>
      <c r="I16" s="20" t="inlineStr">
        <is>
          <t>The invoice clears. A credit balance of 15,000 shows as '15,000 Cr'. On the next invoice the credit is auto-applied, leaving 105,000 due, and the parent is notified that credit was applied.</t>
        </is>
      </c>
      <c r="J16" s="20" t="inlineStr"/>
      <c r="K16" s="10" t="inlineStr">
        <is>
          <t>Not-Executed</t>
        </is>
      </c>
      <c r="L16" s="20" t="inlineStr"/>
    </row>
    <row r="17" ht="96" customHeight="1">
      <c r="A17" s="10" t="inlineStr">
        <is>
          <t>TC_PAY_001</t>
        </is>
      </c>
      <c r="B17" s="20" t="inlineStr">
        <is>
          <t>Payments</t>
        </is>
      </c>
      <c r="C17" s="20" t="inlineStr">
        <is>
          <t>Successful card payment clears the invoice and issues a receipt</t>
        </is>
      </c>
      <c r="D17" s="4" t="inlineStr">
        <is>
          <t>High</t>
        </is>
      </c>
      <c r="E17" s="4" t="inlineStr">
        <is>
          <t>Functional</t>
        </is>
      </c>
      <c r="F17" s="20" t="inlineStr">
        <is>
          <t>A parent has one outstanding invoice. The payment gateway is configured in test mode.</t>
        </is>
      </c>
      <c r="G17" s="20" t="inlineStr">
        <is>
          <t>1. Sign in as the parent.
2. Open Fees and tap Pay Now on the invoice.
3. Select Card.
4. Enter the test card and complete the OTP step.
5. Return to Fees.
6. Open the receipt and print it.</t>
        </is>
      </c>
      <c r="H17" s="20" t="inlineStr">
        <is>
          <t>Test card 4084 0840 8408 4081
OTP: 123456
Amount: 50,000</t>
        </is>
      </c>
      <c r="I17" s="20" t="inlineStr">
        <is>
          <t>The payment succeeds. The invoice status becomes Paid with a zero balance. A receipt is available immediately, carries school branding and a unique reference, and can be printed.</t>
        </is>
      </c>
      <c r="J17" s="20" t="inlineStr"/>
      <c r="K17" s="10" t="inlineStr">
        <is>
          <t>Not-Executed</t>
        </is>
      </c>
      <c r="L17" s="20" t="inlineStr"/>
    </row>
    <row r="18" ht="96" customHeight="1">
      <c r="A18" s="10" t="inlineStr">
        <is>
          <t>TC_PAY_002</t>
        </is>
      </c>
      <c r="B18" s="20" t="inlineStr">
        <is>
          <t>Payments</t>
        </is>
      </c>
      <c r="C18" s="20" t="inlineStr">
        <is>
          <t>Double submission does not double-charge</t>
        </is>
      </c>
      <c r="D18" s="4" t="inlineStr">
        <is>
          <t>High</t>
        </is>
      </c>
      <c r="E18" s="4" t="inlineStr">
        <is>
          <t>Negative</t>
        </is>
      </c>
      <c r="F18" s="20" t="inlineStr">
        <is>
          <t>A parent has one outstanding invoice of 50,000.</t>
        </is>
      </c>
      <c r="G18" s="20" t="inlineStr">
        <is>
          <t>1. Sign in as the parent and tap Pay Now.
2. Complete the payment form.
3. Double-tap Submit rapidly, or resubmit the request with the same reference.
4. Open the ledger and the finance payments list.</t>
        </is>
      </c>
      <c r="H18" s="20" t="inlineStr">
        <is>
          <t>Invoice: 50,000
Same idempotency reference sent twice</t>
        </is>
      </c>
      <c r="I18" s="20" t="inlineStr">
        <is>
          <t>Exactly one payment of 50,000 is recorded. The parent is charged once. The ledger shows a single credit row. No duplicate receipt is generated.</t>
        </is>
      </c>
      <c r="J18" s="20" t="inlineStr"/>
      <c r="K18" s="10" t="inlineStr">
        <is>
          <t>Not-Executed</t>
        </is>
      </c>
      <c r="L18" s="20" t="inlineStr"/>
    </row>
    <row r="19" ht="96" customHeight="1">
      <c r="A19" s="10" t="inlineStr">
        <is>
          <t>TC_PAY_003</t>
        </is>
      </c>
      <c r="B19" s="20" t="inlineStr">
        <is>
          <t>Payments</t>
        </is>
      </c>
      <c r="C19" s="20" t="inlineStr">
        <is>
          <t>Parent cannot pay another family's invoice</t>
        </is>
      </c>
      <c r="D19" s="4" t="inlineStr">
        <is>
          <t>High</t>
        </is>
      </c>
      <c r="E19" s="4" t="inlineStr">
        <is>
          <t>Security</t>
        </is>
      </c>
      <c r="F19" s="20" t="inlineStr">
        <is>
          <t>Two parents, P1 and P2, each with their own outstanding invoice.</t>
        </is>
      </c>
      <c r="G19" s="20" t="inlineStr">
        <is>
          <t>1. Sign in as parent P1.
2. Capture the invoice ID belonging to parent P2.
3. Deep-link to the payment flow using P2's invoice ID.
4. Attempt to submit a payment.</t>
        </is>
      </c>
      <c r="H19" s="20" t="inlineStr">
        <is>
          <t>P1 account
P2 invoice ID: inv_p2_0001</t>
        </is>
      </c>
      <c r="I19" s="20" t="inlineStr">
        <is>
          <t>The request is rejected with an access-denied response. No payment is created, no invoice is modified, and the attempt is written to the audit log.</t>
        </is>
      </c>
      <c r="J19" s="20" t="inlineStr"/>
      <c r="K19" s="10" t="inlineStr">
        <is>
          <t>Not-Executed</t>
        </is>
      </c>
      <c r="L19" s="20" t="inlineStr"/>
    </row>
    <row r="20" ht="96" customHeight="1">
      <c r="A20" s="10" t="inlineStr">
        <is>
          <t>TC_PAY_004</t>
        </is>
      </c>
      <c r="B20" s="20" t="inlineStr">
        <is>
          <t>Payments</t>
        </is>
      </c>
      <c r="C20" s="20" t="inlineStr">
        <is>
          <t>Partial payment leaves the correct remaining balance</t>
        </is>
      </c>
      <c r="D20" s="4" t="inlineStr">
        <is>
          <t>Medium</t>
        </is>
      </c>
      <c r="E20" s="4" t="inlineStr">
        <is>
          <t>Functional</t>
        </is>
      </c>
      <c r="F20" s="20" t="inlineStr">
        <is>
          <t>A parent has an outstanding invoice of 120,000.</t>
        </is>
      </c>
      <c r="G20" s="20" t="inlineStr">
        <is>
          <t>1. Sign in as the parent and tap Pay Now.
2. Enter a part amount of 45,000 and complete payment.
3. Return to Fees and open the invoice.
4. Open the ledger.</t>
        </is>
      </c>
      <c r="H20" s="20" t="inlineStr">
        <is>
          <t>Invoice: 120,000
Payment: 45,000</t>
        </is>
      </c>
      <c r="I20" s="20" t="inlineStr">
        <is>
          <t>The invoice shows a remaining balance of 75,000 and a part-paid status. The ledger shows a 45,000 credit row and a running balance of 75,000. A receipt is issued for 45,000.</t>
        </is>
      </c>
      <c r="J20" s="20" t="inlineStr"/>
      <c r="K20" s="10" t="inlineStr">
        <is>
          <t>Not-Executed</t>
        </is>
      </c>
      <c r="L20" s="20" t="inlineStr"/>
    </row>
    <row r="21" ht="96" customHeight="1">
      <c r="A21" s="10" t="inlineStr">
        <is>
          <t>TC_BIL_001</t>
        </is>
      </c>
      <c r="B21" s="20" t="inlineStr">
        <is>
          <t>Subscription &amp; Billing</t>
        </is>
      </c>
      <c r="C21" s="20" t="inlineStr">
        <is>
          <t>Upgrade charges pro-rata and unlocks features immediately</t>
        </is>
      </c>
      <c r="D21" s="4" t="inlineStr">
        <is>
          <t>High</t>
        </is>
      </c>
      <c r="E21" s="4" t="inlineStr">
        <is>
          <t>Functional</t>
        </is>
      </c>
      <c r="F21" s="20" t="inlineStr">
        <is>
          <t>School is on Essential with 12 days remaining before renewal. Professional adds transport and payroll.</t>
        </is>
      </c>
      <c r="G21" s="20" t="inlineStr">
        <is>
          <t>1. Sign in as the owner.
2. Open School Settings &gt; Billing and Plan.
3. Select Upgrade to Professional.
4. Read the quoted pro-rata amount and confirm.
5. Complete payment.
6. Without signing out, check the navigation for the newly included modules.</t>
        </is>
      </c>
      <c r="H21" s="20" t="inlineStr">
        <is>
          <t>Essential 45,000/mo, Professional 95,000/mo
Days remaining: 12</t>
        </is>
      </c>
      <c r="I21" s="20" t="inlineStr">
        <is>
          <t>The quote is the tier difference apportioned to the 12 remaining days, not a full month. On payment the invoice is marked paid and the newly included modules appear in the nav immediately with no re-login.</t>
        </is>
      </c>
      <c r="J21" s="20" t="inlineStr"/>
      <c r="K21" s="10" t="inlineStr">
        <is>
          <t>Not-Executed</t>
        </is>
      </c>
      <c r="L21" s="20" t="inlineStr"/>
    </row>
    <row r="22" ht="96" customHeight="1">
      <c r="A22" s="10" t="inlineStr">
        <is>
          <t>TC_BIL_002</t>
        </is>
      </c>
      <c r="B22" s="20" t="inlineStr">
        <is>
          <t>Subscription &amp; Billing</t>
        </is>
      </c>
      <c r="C22" s="20" t="inlineStr">
        <is>
          <t>Downgrade is deferred to renewal and issues no credit</t>
        </is>
      </c>
      <c r="D22" s="4" t="inlineStr">
        <is>
          <t>High</t>
        </is>
      </c>
      <c r="E22" s="4" t="inlineStr">
        <is>
          <t>Functional</t>
        </is>
      </c>
      <c r="F22" s="20" t="inlineStr">
        <is>
          <t>School is on Professional with 18 days remaining before renewal.</t>
        </is>
      </c>
      <c r="G22" s="20" t="inlineStr">
        <is>
          <t>1. Sign in as the owner.
2. Open Billing and Plan and select Downgrade to Essential.
3. Read the warning listing features that will be lost.
4. Confirm the scheduled downgrade.
5. Check the plan shown and the module navigation.
6. Open the ledger and any credit balance.</t>
        </is>
      </c>
      <c r="H22" s="20" t="inlineStr">
        <is>
          <t>Professional 95,000/mo to Essential 45,000/mo
Days remaining: 18</t>
        </is>
      </c>
      <c r="I22" s="20" t="inlineStr">
        <is>
          <t>The plan still reads Professional and all its features remain usable. A pending change is shown with the renewal date. No refund, credit balance or adjusting invoice is created anywhere.</t>
        </is>
      </c>
      <c r="J22" s="20" t="inlineStr"/>
      <c r="K22" s="10" t="inlineStr">
        <is>
          <t>Not-Executed</t>
        </is>
      </c>
      <c r="L22" s="20" t="inlineStr"/>
    </row>
    <row r="23" ht="96" customHeight="1">
      <c r="A23" s="10" t="inlineStr">
        <is>
          <t>TC_BIL_003</t>
        </is>
      </c>
      <c r="B23" s="20" t="inlineStr">
        <is>
          <t>Subscription &amp; Billing</t>
        </is>
      </c>
      <c r="C23" s="20" t="inlineStr">
        <is>
          <t>Scheduled downgrade can be cancelled cleanly</t>
        </is>
      </c>
      <c r="D23" s="4" t="inlineStr">
        <is>
          <t>Medium</t>
        </is>
      </c>
      <c r="E23" s="4" t="inlineStr">
        <is>
          <t>Functional</t>
        </is>
      </c>
      <c r="F23" s="20" t="inlineStr">
        <is>
          <t>A downgrade from Professional to Essential is scheduled for the next renewal.</t>
        </is>
      </c>
      <c r="G23" s="20" t="inlineStr">
        <is>
          <t>1. Sign in as the owner and open Billing and Plan.
2. Confirm the pending change and its effective date are visible.
3. Select Cancel scheduled change.
4. Confirm.
5. Re-check plan, features, invoices and any credit balance.</t>
        </is>
      </c>
      <c r="H23" s="20" t="inlineStr">
        <is>
          <t>Pending: Professional to Essential</t>
        </is>
      </c>
      <c r="I23" s="20" t="inlineStr">
        <is>
          <t>The pending change is removed. The school remains on Professional. No charge, credit or adjusting invoice is produced. An audit entry records the cancellation.</t>
        </is>
      </c>
      <c r="J23" s="20" t="inlineStr"/>
      <c r="K23" s="10" t="inlineStr">
        <is>
          <t>Not-Executed</t>
        </is>
      </c>
      <c r="L23" s="20" t="inlineStr"/>
    </row>
    <row r="24" ht="96" customHeight="1">
      <c r="A24" s="10" t="inlineStr">
        <is>
          <t>TC_BIL_004</t>
        </is>
      </c>
      <c r="B24" s="20" t="inlineStr">
        <is>
          <t>Subscription &amp; Billing</t>
        </is>
      </c>
      <c r="C24" s="20" t="inlineStr">
        <is>
          <t>Subscription invoices never appear in a parent's ledger</t>
        </is>
      </c>
      <c r="D24" s="4" t="inlineStr">
        <is>
          <t>High</t>
        </is>
      </c>
      <c r="E24" s="4" t="inlineStr">
        <is>
          <t>Security</t>
        </is>
      </c>
      <c r="F24" s="20" t="inlineStr">
        <is>
          <t>The school has at least one pending subscription invoice and at least one parent with children.</t>
        </is>
      </c>
      <c r="G24" s="20" t="inlineStr">
        <is>
          <t>1. Sign in as the owner and confirm a subscription invoice exists under Billing.
2. Note its amount and reference.
3. Sign in as a parent.
4. Open Fees, Wallet and the printed statement.
5. Search the statement for the subscription amount.</t>
        </is>
      </c>
      <c r="H24" s="20" t="inlineStr">
        <is>
          <t>Subscription invoice: 95,000</t>
        </is>
      </c>
      <c r="I24" s="20" t="inlineStr">
        <is>
          <t>The subscription invoice appears only in the owner's Billing tab. It is absent from every parent view, from the ledger and from the printed statement.</t>
        </is>
      </c>
      <c r="J24" s="20" t="inlineStr"/>
      <c r="K24" s="10" t="inlineStr">
        <is>
          <t>Not-Executed</t>
        </is>
      </c>
      <c r="L24" s="20" t="inlineStr"/>
    </row>
    <row r="25" ht="96" customHeight="1">
      <c r="A25" s="10" t="inlineStr">
        <is>
          <t>TC_ENT_001</t>
        </is>
      </c>
      <c r="B25" s="20" t="inlineStr">
        <is>
          <t>Entitlements</t>
        </is>
      </c>
      <c r="C25" s="20" t="inlineStr">
        <is>
          <t>Unentitled deep link shows a locked screen with an upgrade path</t>
        </is>
      </c>
      <c r="D25" s="4" t="inlineStr">
        <is>
          <t>High</t>
        </is>
      </c>
      <c r="E25" s="4" t="inlineStr">
        <is>
          <t>Negative</t>
        </is>
      </c>
      <c r="F25" s="20" t="inlineStr">
        <is>
          <t>School is on a plan that does not include Transport, and no per-school override grants it.</t>
        </is>
      </c>
      <c r="G25" s="20" t="inlineStr">
        <is>
          <t>1. Sign in as the school admin.
2. Confirm Transport is absent from the navigation.
3. Deep-link directly to the Transport view URL.
4. Observe the screen.
5. Tap Request this feature.
6. Sign in as a CASPAA operator and open the Support Desk.</t>
        </is>
      </c>
      <c r="H25" s="20" t="inlineStr">
        <is>
          <t>Plan: Essential
Feature key: transport</t>
        </is>
      </c>
      <c r="I25" s="20" t="inlineStr">
        <is>
          <t>The nav omits Transport. The deep link renders a locked screen explaining the feature is not on the plan, with an upgrade route. Requesting it creates a ticket visible in both the COP Support Desk and the school's own Help and Support.</t>
        </is>
      </c>
      <c r="J25" s="20" t="inlineStr"/>
      <c r="K25" s="10" t="inlineStr">
        <is>
          <t>Not-Executed</t>
        </is>
      </c>
      <c r="L25" s="20" t="inlineStr"/>
    </row>
    <row r="26" ht="96" customHeight="1">
      <c r="A26" s="10" t="inlineStr">
        <is>
          <t>TC_ENT_002</t>
        </is>
      </c>
      <c r="B26" s="20" t="inlineStr">
        <is>
          <t>Entitlements</t>
        </is>
      </c>
      <c r="C26" s="20" t="inlineStr">
        <is>
          <t>Per-school override grants a feature outside the plan tier</t>
        </is>
      </c>
      <c r="D26" s="4" t="inlineStr">
        <is>
          <t>Medium</t>
        </is>
      </c>
      <c r="E26" s="4" t="inlineStr">
        <is>
          <t>Functional</t>
        </is>
      </c>
      <c r="F26" s="20" t="inlineStr">
        <is>
          <t>School is on Essential. Transport is not in that tier. Operator has COP access.</t>
        </is>
      </c>
      <c r="G26" s="20" t="inlineStr">
        <is>
          <t>1. Sign in as a CASPAA operator.
2. Open the school's Features tab.
3. Switch Transport on as a per-school override.
4. Sign in as that school's admin.
5. Check the navigation and open Transport.</t>
        </is>
      </c>
      <c r="H26" s="20" t="inlineStr">
        <is>
          <t>Plan: Essential
Override: transport = on</t>
        </is>
      </c>
      <c r="I26" s="20" t="inlineStr">
        <is>
          <t>Transport appears in the school's navigation and the view opens fully functional, despite the plan tier not including it. No other school gains the feature.</t>
        </is>
      </c>
      <c r="J26" s="20" t="inlineStr"/>
      <c r="K26" s="10" t="inlineStr">
        <is>
          <t>Not-Executed</t>
        </is>
      </c>
      <c r="L26" s="20" t="inlineStr"/>
    </row>
    <row r="27" ht="96" customHeight="1">
      <c r="A27" s="10" t="inlineStr">
        <is>
          <t>TC_BRA_001</t>
        </is>
      </c>
      <c r="B27" s="20" t="inlineStr">
        <is>
          <t>Multi-branch</t>
        </is>
      </c>
      <c r="C27" s="20" t="inlineStr">
        <is>
          <t>Branch switch re-scopes every module</t>
        </is>
      </c>
      <c r="D27" s="4" t="inlineStr">
        <is>
          <t>High</t>
        </is>
      </c>
      <c r="E27" s="4" t="inlineStr">
        <is>
          <t>Functional</t>
        </is>
      </c>
      <c r="F27" s="20" t="inlineStr">
        <is>
          <t>A group has two branches, Branch A (120 students) and Branch B (75 students), each with distinct data.</t>
        </is>
      </c>
      <c r="G27" s="20" t="inlineStr">
        <is>
          <t>1. Sign in as the group owner.
2. Confirm the Group Overview totals read 195 students.
3. Switch into Branch A.
4. Check Students, Attendance, Finance and Reports.
5. Switch into Branch B.
6. Repeat the checks.</t>
        </is>
      </c>
      <c r="H27" s="20" t="inlineStr">
        <is>
          <t>Branch A: 120 students
Branch B: 75 students</t>
        </is>
      </c>
      <c r="I27" s="20" t="inlineStr">
        <is>
          <t>Group totals equal the sum of both branches. Inside Branch A every module shows only its 120 students. Inside Branch B only its 75. No record from one branch appears in the other in any module.</t>
        </is>
      </c>
      <c r="J27" s="20" t="inlineStr"/>
      <c r="K27" s="10" t="inlineStr">
        <is>
          <t>Not-Executed</t>
        </is>
      </c>
      <c r="L27" s="20" t="inlineStr"/>
    </row>
    <row r="28" ht="96" customHeight="1">
      <c r="A28" s="10" t="inlineStr">
        <is>
          <t>TC_NOT_001</t>
        </is>
      </c>
      <c r="B28" s="20" t="inlineStr">
        <is>
          <t>Notifications</t>
        </is>
      </c>
      <c r="C28" s="20" t="inlineStr">
        <is>
          <t>Mandatory sickbay alert fires with all triggers off</t>
        </is>
      </c>
      <c r="D28" s="4" t="inlineStr">
        <is>
          <t>High</t>
        </is>
      </c>
      <c r="E28" s="4" t="inlineStr">
        <is>
          <t>Functional</t>
        </is>
      </c>
      <c r="F28" s="20" t="inlineStr">
        <is>
          <t>Every configurable notification trigger has been switched off in School Settings.</t>
        </is>
      </c>
      <c r="G28" s="20" t="inlineStr">
        <is>
          <t>1. Sign in as admin and switch off all notification triggers.
2. Sign in as health staff.
3. Log a sickbay visit for a student with outcome Sent Home.
4. Save.
5. Sign in as that student's parent and open notifications.</t>
        </is>
      </c>
      <c r="H28" s="20" t="inlineStr">
        <is>
          <t>Student: Ada Obi
Outcome: Sent Home</t>
        </is>
      </c>
      <c r="I28" s="20" t="inlineStr">
        <is>
          <t>The parent still receives the alert. The mandatory outcome overrides the trigger configuration. The visit cannot be saved without the notification firing.</t>
        </is>
      </c>
      <c r="J28" s="20" t="inlineStr"/>
      <c r="K28" s="10" t="inlineStr">
        <is>
          <t>Not-Executed</t>
        </is>
      </c>
      <c r="L28" s="20" t="inlineStr"/>
    </row>
    <row r="29" ht="96" customHeight="1">
      <c r="A29" s="10" t="inlineStr">
        <is>
          <t>TC_NOT_002</t>
        </is>
      </c>
      <c r="B29" s="20" t="inlineStr">
        <is>
          <t>Notifications</t>
        </is>
      </c>
      <c r="C29" s="20" t="inlineStr">
        <is>
          <t>SMS channel is visibly locked and unusable</t>
        </is>
      </c>
      <c r="D29" s="4" t="inlineStr">
        <is>
          <t>Medium</t>
        </is>
      </c>
      <c r="E29" s="4" t="inlineStr">
        <is>
          <t>Negative</t>
        </is>
      </c>
      <c r="F29" s="20" t="inlineStr">
        <is>
          <t>The school is signed in as owner with access to School Settings.</t>
        </is>
      </c>
      <c r="G29" s="20" t="inlineStr">
        <is>
          <t>1. Open School Settings &gt; Notifications.
2. Locate the SMS channel row.
3. Attempt to switch the SMS toggle on.
4. Read the accompanying explanation.
5. Trigger an absence alert and inspect the channels used.</t>
        </is>
      </c>
      <c r="H29" s="20" t="inlineStr">
        <is>
          <t>Channel: SMS</t>
        </is>
      </c>
      <c r="I29" s="20" t="inlineStr">
        <is>
          <t>The SMS toggle is rendered disabled and off, with the platform reason stated on screen. It cannot be enabled. No notification is dispatched over SMS by any module.</t>
        </is>
      </c>
      <c r="J29" s="20" t="inlineStr"/>
      <c r="K29" s="10" t="inlineStr">
        <is>
          <t>Not-Executed</t>
        </is>
      </c>
      <c r="L29" s="20" t="inlineStr"/>
    </row>
    <row r="30" ht="96" customHeight="1">
      <c r="A30" s="10" t="inlineStr">
        <is>
          <t>TC_AUD_001</t>
        </is>
      </c>
      <c r="B30" s="20" t="inlineStr">
        <is>
          <t>Audit Log</t>
        </is>
      </c>
      <c r="C30" s="20" t="inlineStr">
        <is>
          <t>Sensitive actions are logged and cannot be altered</t>
        </is>
      </c>
      <c r="D30" s="4" t="inlineStr">
        <is>
          <t>High</t>
        </is>
      </c>
      <c r="E30" s="4" t="inlineStr">
        <is>
          <t>Security</t>
        </is>
      </c>
      <c r="F30" s="20" t="inlineStr">
        <is>
          <t>Admin has access to the Audit Log. A student record exists.</t>
        </is>
      </c>
      <c r="G30" s="20" t="inlineStr">
        <is>
          <t>1. Sign in as admin and change a student's status to Withdrawn.
2. Approve a payroll run.
3. Open the Audit Log.
4. Filter by category Students, then Finance.
5. Search the student's name.
6. Attempt to edit or delete any entry.</t>
        </is>
      </c>
      <c r="H30" s="20" t="inlineStr">
        <is>
          <t>Student: Ada Obi
Payroll: September run</t>
        </is>
      </c>
      <c r="I30" s="20" t="inlineStr">
        <is>
          <t>Both actions appear as separate entries naming the acting user, the target and the timestamp. Category and search filters return them correctly. No UI path allows editing or deleting an entry, and none contains a password or gateway key.</t>
        </is>
      </c>
      <c r="J30" s="20" t="inlineStr"/>
      <c r="K30" s="10" t="inlineStr">
        <is>
          <t>Not-Executed</t>
        </is>
      </c>
      <c r="L30" s="20" t="inlineStr"/>
    </row>
    <row r="31" ht="96" customHeight="1">
      <c r="A31" s="10" t="inlineStr">
        <is>
          <t>TC_USA_001</t>
        </is>
      </c>
      <c r="B31" s="20" t="inlineStr">
        <is>
          <t>Usability</t>
        </is>
      </c>
      <c r="C31" s="20" t="inlineStr">
        <is>
          <t>Irreversible actions require explicit confirmation</t>
        </is>
      </c>
      <c r="D31" s="4" t="inlineStr">
        <is>
          <t>Medium</t>
        </is>
      </c>
      <c r="E31" s="4" t="inlineStr">
        <is>
          <t>UI</t>
        </is>
      </c>
      <c r="F31" s="20" t="inlineStr">
        <is>
          <t>Admin is signed in with records available to delete.</t>
        </is>
      </c>
      <c r="G31" s="20" t="inlineStr">
        <is>
          <t>1. Attempt to delete a student record.
2. Observe the prompt.
3. Cancel and confirm the record still exists.
4. Repeat for deactivating a school store item and restoring a data backup.</t>
        </is>
      </c>
      <c r="H31" s="20" t="inlineStr">
        <is>
          <t>Any deletable record</t>
        </is>
      </c>
      <c r="I31" s="20" t="inlineStr">
        <is>
          <t>Each irreversible action raises a confirmation prompt naming the specific record. Cancelling leaves the record untouched. Restore requires typing or confirming the school name before it proceeds.</t>
        </is>
      </c>
      <c r="J31" s="20" t="inlineStr"/>
      <c r="K31" s="10" t="inlineStr">
        <is>
          <t>Not-Executed</t>
        </is>
      </c>
      <c r="L31" s="20" t="inlineStr"/>
    </row>
    <row r="32" ht="96" customHeight="1">
      <c r="A32" s="10" t="inlineStr">
        <is>
          <t>TC_USA_002</t>
        </is>
      </c>
      <c r="B32" s="20" t="inlineStr">
        <is>
          <t>Usability</t>
        </is>
      </c>
      <c r="C32" s="20" t="inlineStr">
        <is>
          <t>Status is never conveyed by colour alone</t>
        </is>
      </c>
      <c r="D32" s="4" t="inlineStr">
        <is>
          <t>Medium</t>
        </is>
      </c>
      <c r="E32" s="4" t="inlineStr">
        <is>
          <t>Accessibility</t>
        </is>
      </c>
      <c r="F32" s="20" t="inlineStr">
        <is>
          <t>Records exist in Passed, Failed, Overdue, Paid and Pending states across modules.</t>
        </is>
      </c>
      <c r="G32" s="20" t="inlineStr">
        <is>
          <t>1. Open Finance &gt; Invoices, Results, Attendance and the Library overdue tab.
2. Inspect each status indicator.
3. Re-inspect using a greyscale filter or colour-blindness simulator.
4. Verify each state is still distinguishable.</t>
        </is>
      </c>
      <c r="H32" s="20" t="inlineStr">
        <is>
          <t>Greyscale / deuteranopia simulation</t>
        </is>
      </c>
      <c r="I32" s="20" t="inlineStr">
        <is>
          <t>Every status carries a text label or icon alongside its colour. All states remain distinguishable in greyscale. Contrast between text and background meets WCAG AA.</t>
        </is>
      </c>
      <c r="J32" s="20" t="inlineStr"/>
      <c r="K32" s="10" t="inlineStr">
        <is>
          <t>Not-Executed</t>
        </is>
      </c>
      <c r="L32" s="20" t="inlineStr"/>
    </row>
    <row r="33" ht="96" customHeight="1">
      <c r="A33" s="10" t="inlineStr">
        <is>
          <t>TC_OFF_001</t>
        </is>
      </c>
      <c r="B33" s="20" t="inlineStr">
        <is>
          <t>Offline &amp; PWA</t>
        </is>
      </c>
      <c r="C33" s="20" t="inlineStr">
        <is>
          <t>App is installable and functions offline</t>
        </is>
      </c>
      <c r="D33" s="4" t="inlineStr">
        <is>
          <t>High</t>
        </is>
      </c>
      <c r="E33" s="4" t="inlineStr">
        <is>
          <t>Functional</t>
        </is>
      </c>
      <c r="F33" s="20" t="inlineStr">
        <is>
          <t>The school URL is reachable and the user has signed in at least once online.</t>
        </is>
      </c>
      <c r="G33" s="20" t="inlineStr">
        <is>
          <t>1. Open the school URL in a supported browser.
2. Install the app to the home screen.
3. Confirm the icon and name.
4. Enable airplane mode.
5. Launch the installed app.
6. Navigate between dashboard, students and attendance.</t>
        </is>
      </c>
      <c r="H33" s="20" t="inlineStr">
        <is>
          <t>Chrome / Edge on Android or desktop</t>
        </is>
      </c>
      <c r="I33" s="20" t="inlineStr">
        <is>
          <t>The install prompt appears and installation succeeds with the school's branding. The app launches offline, renders cached data, shows a clear offline indicator, and connectivity-dependent actions are disabled with an explanation.</t>
        </is>
      </c>
      <c r="J33" s="20" t="inlineStr"/>
      <c r="K33" s="10" t="inlineStr">
        <is>
          <t>Not-Executed</t>
        </is>
      </c>
      <c r="L33" s="20" t="inlineStr"/>
    </row>
  </sheetData>
  <conditionalFormatting sqref="K2:K33">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2">
    <dataValidation sqref="K2:K33" showDropDown="0" showInputMessage="0" showErrorMessage="0" allowBlank="1" type="list">
      <formula1>"Not-Executed,Passed,Failed,Blocker,N/A"</formula1>
    </dataValidation>
    <dataValidation sqref="D2:D33"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2026-09-07T14:20:03Z</dcterms:created>
  <dcterms:modified xmlns:dcterms="http://purl.org/dc/terms/" xmlns:xsi="http://www.w3.org/2001/XMLSchema-instance" xsi:type="dcterms:W3CDTF">2026-09-07T14:20:03Z</dcterms:modified>
</cp:coreProperties>
</file>